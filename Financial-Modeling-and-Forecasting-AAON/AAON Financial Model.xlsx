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wallace/Documents/Accounting Projects/AOON Financial Modeling &amp; Forecasting/"/>
    </mc:Choice>
  </mc:AlternateContent>
  <xr:revisionPtr revIDLastSave="0" documentId="13_ncr:1_{2C9E5252-A11D-A245-B4A9-BE8E8F6C8A51}" xr6:coauthVersionLast="47" xr6:coauthVersionMax="47" xr10:uidLastSave="{00000000-0000-0000-0000-000000000000}"/>
  <bookViews>
    <workbookView xWindow="0" yWindow="660" windowWidth="15420" windowHeight="20820" firstSheet="5" activeTab="7" xr2:uid="{21366B11-3BBB-9845-8F1B-30FB5312EDEC}"/>
  </bookViews>
  <sheets>
    <sheet name="Cover" sheetId="1" r:id="rId1"/>
    <sheet name="Sources" sheetId="2" r:id="rId2"/>
    <sheet name="Historical IS" sheetId="3" r:id="rId3"/>
    <sheet name="Historical BS" sheetId="4" r:id="rId4"/>
    <sheet name="Historical CF" sheetId="5" r:id="rId5"/>
    <sheet name="Assumptions" sheetId="6" r:id="rId6"/>
    <sheet name="Forecast IS" sheetId="7" r:id="rId7"/>
    <sheet name="Executive Dashboard" sheetId="10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0" l="1"/>
  <c r="C16" i="7"/>
  <c r="D16" i="7"/>
  <c r="E16" i="7"/>
  <c r="B16" i="7"/>
  <c r="E15" i="7"/>
  <c r="D15" i="7"/>
  <c r="C15" i="7"/>
  <c r="B15" i="7"/>
  <c r="C9" i="10"/>
  <c r="A9" i="10"/>
  <c r="G6" i="10"/>
  <c r="E6" i="10"/>
  <c r="C6" i="10"/>
  <c r="D13" i="7"/>
  <c r="E13" i="7"/>
  <c r="E12" i="7"/>
  <c r="D12" i="7"/>
  <c r="D11" i="7"/>
  <c r="E11" i="7"/>
  <c r="D9" i="7"/>
  <c r="E9" i="7" s="1"/>
  <c r="D8" i="7"/>
  <c r="E8" i="7"/>
  <c r="D6" i="7"/>
  <c r="E6" i="7"/>
  <c r="D5" i="7"/>
  <c r="E5" i="7"/>
  <c r="D4" i="7"/>
  <c r="E4" i="7"/>
  <c r="C13" i="7"/>
  <c r="C12" i="7"/>
  <c r="C11" i="7"/>
  <c r="C9" i="7"/>
  <c r="C8" i="7"/>
  <c r="C6" i="7"/>
  <c r="C5" i="7"/>
  <c r="C4" i="7"/>
  <c r="E3" i="7"/>
  <c r="D3" i="7"/>
  <c r="C3" i="7"/>
  <c r="B5" i="7"/>
  <c r="B6" i="7"/>
  <c r="B7" i="7"/>
  <c r="B8" i="7"/>
  <c r="B9" i="7"/>
  <c r="B10" i="7"/>
  <c r="B11" i="7"/>
  <c r="B12" i="7"/>
  <c r="B13" i="7"/>
  <c r="B4" i="7"/>
  <c r="B3" i="7"/>
  <c r="F9" i="6"/>
  <c r="E9" i="6"/>
  <c r="D9" i="6"/>
  <c r="C9" i="6"/>
  <c r="B9" i="6"/>
  <c r="E12" i="6"/>
  <c r="D12" i="6"/>
  <c r="C12" i="6"/>
  <c r="B12" i="6"/>
  <c r="F12" i="6" s="1"/>
  <c r="E11" i="6"/>
  <c r="D11" i="6"/>
  <c r="C11" i="6"/>
  <c r="B11" i="6"/>
  <c r="F11" i="6"/>
  <c r="F10" i="6"/>
  <c r="E10" i="6"/>
  <c r="D10" i="6"/>
  <c r="C10" i="6"/>
  <c r="B10" i="6"/>
  <c r="E8" i="6"/>
  <c r="C8" i="6"/>
  <c r="D8" i="6"/>
  <c r="B8" i="6"/>
  <c r="F8" i="6" s="1"/>
  <c r="F7" i="6"/>
  <c r="E7" i="6"/>
  <c r="D7" i="6"/>
  <c r="C7" i="6"/>
  <c r="B7" i="6"/>
  <c r="E6" i="6"/>
  <c r="D6" i="6"/>
  <c r="C6" i="6"/>
  <c r="B6" i="6"/>
  <c r="F6" i="6" s="1"/>
  <c r="F5" i="6"/>
  <c r="E5" i="6"/>
  <c r="D5" i="6"/>
  <c r="C5" i="6"/>
  <c r="B5" i="6"/>
  <c r="E4" i="6"/>
  <c r="D4" i="6"/>
  <c r="C4" i="6"/>
  <c r="B4" i="6"/>
  <c r="F4" i="6" s="1"/>
  <c r="B44" i="5"/>
  <c r="C44" i="5"/>
  <c r="B34" i="5"/>
  <c r="C34" i="5"/>
  <c r="C12" i="5"/>
  <c r="B24" i="5"/>
  <c r="C24" i="5"/>
  <c r="F24" i="5"/>
  <c r="E24" i="5"/>
  <c r="D24" i="5"/>
  <c r="B38" i="4"/>
  <c r="B37" i="4"/>
  <c r="B30" i="4"/>
  <c r="B29" i="4"/>
  <c r="B28" i="4"/>
  <c r="B27" i="4"/>
  <c r="B26" i="4"/>
  <c r="B31" i="4" s="1"/>
  <c r="B17" i="4"/>
  <c r="B13" i="4"/>
  <c r="B11" i="4"/>
  <c r="C37" i="4"/>
  <c r="C26" i="4"/>
  <c r="C31" i="4" s="1"/>
  <c r="C38" i="4" s="1"/>
  <c r="C17" i="4"/>
  <c r="C13" i="4"/>
  <c r="C11" i="4"/>
  <c r="D37" i="4"/>
  <c r="D26" i="4"/>
  <c r="D31" i="4" s="1"/>
  <c r="D17" i="4"/>
  <c r="D11" i="4"/>
  <c r="F38" i="4"/>
  <c r="F31" i="4"/>
  <c r="E38" i="4"/>
  <c r="E31" i="4"/>
  <c r="F37" i="4"/>
  <c r="E37" i="4"/>
  <c r="E26" i="4"/>
  <c r="F26" i="4"/>
  <c r="F17" i="4"/>
  <c r="E17" i="4"/>
  <c r="F11" i="4"/>
  <c r="E11" i="4"/>
  <c r="B13" i="3"/>
  <c r="B5" i="3"/>
  <c r="C13" i="3"/>
  <c r="C5" i="3"/>
  <c r="D13" i="3"/>
  <c r="E13" i="3"/>
  <c r="F13" i="3"/>
  <c r="E5" i="3"/>
  <c r="F5" i="3"/>
  <c r="D5" i="3"/>
  <c r="D38" i="4" l="1"/>
</calcChain>
</file>

<file path=xl/sharedStrings.xml><?xml version="1.0" encoding="utf-8"?>
<sst xmlns="http://schemas.openxmlformats.org/spreadsheetml/2006/main" count="171" uniqueCount="153">
  <si>
    <t>AAON, Inc. Three-Statement Financial Model</t>
  </si>
  <si>
    <t>Company: AAON, Inc.</t>
  </si>
  <si>
    <t>Ticker: AAON</t>
  </si>
  <si>
    <t>Industry: HVAC / Commercial &amp; Industrial Equipment</t>
  </si>
  <si>
    <t>Model Type: Historical Financial Statements + Forecast Model</t>
  </si>
  <si>
    <t>Source: SEC filings and company annual reports</t>
  </si>
  <si>
    <t>Source</t>
  </si>
  <si>
    <t>Link/Description</t>
  </si>
  <si>
    <t>AAON Investor Relations</t>
  </si>
  <si>
    <t>Quarterly and annual reports page</t>
  </si>
  <si>
    <t>2025 Annual Report / Form 10-K</t>
  </si>
  <si>
    <t>AAON Fiscal Year 2025 Annual Report</t>
  </si>
  <si>
    <t>2024 Annual Report / Form 10-K</t>
  </si>
  <si>
    <t>AAON Fiscal Year 2024 Annual Report</t>
  </si>
  <si>
    <t>Income Statement</t>
  </si>
  <si>
    <t>Net Sales</t>
  </si>
  <si>
    <t>Cost of Sales</t>
  </si>
  <si>
    <t>Gross Profit</t>
  </si>
  <si>
    <t>Selling, General &amp; Administrative Expenses</t>
  </si>
  <si>
    <t>Operating Income</t>
  </si>
  <si>
    <t>Interest Expense</t>
  </si>
  <si>
    <t>Income Before Taxes</t>
  </si>
  <si>
    <t>Net Income</t>
  </si>
  <si>
    <t>Balance Sheet</t>
  </si>
  <si>
    <t>Cash Flow</t>
  </si>
  <si>
    <t>Gain on disposal of assets</t>
  </si>
  <si>
    <t>Other income, net</t>
  </si>
  <si>
    <t>Income Tax Provision</t>
  </si>
  <si>
    <t>EPS</t>
  </si>
  <si>
    <t xml:space="preserve">     Basic EPS</t>
  </si>
  <si>
    <t xml:space="preserve">     Diluted EPS</t>
  </si>
  <si>
    <t>Cash dividends</t>
  </si>
  <si>
    <t>Weighted avg shares outstanding</t>
  </si>
  <si>
    <t xml:space="preserve">     Basic  </t>
  </si>
  <si>
    <t xml:space="preserve">     Diluted</t>
  </si>
  <si>
    <t>TOTAL ASSETS</t>
  </si>
  <si>
    <t>Assets</t>
  </si>
  <si>
    <t xml:space="preserve">     Cash &amp; Cash Equivalents</t>
  </si>
  <si>
    <t xml:space="preserve">     Restricted Cash</t>
  </si>
  <si>
    <t xml:space="preserve">     Accounts Receivable, net</t>
  </si>
  <si>
    <t xml:space="preserve">     Income tax receivable</t>
  </si>
  <si>
    <t xml:space="preserve">     Inventory, net</t>
  </si>
  <si>
    <t xml:space="preserve">     Contract assets, net</t>
  </si>
  <si>
    <t xml:space="preserve">     Prepaid expenses and other</t>
  </si>
  <si>
    <t>Total current assets</t>
  </si>
  <si>
    <t>PP&amp;E, net</t>
  </si>
  <si>
    <t>Intangible assets, net and goodwill</t>
  </si>
  <si>
    <t>Right of use assets</t>
  </si>
  <si>
    <t>Other long-term assets</t>
  </si>
  <si>
    <t>Deferred tax assets</t>
  </si>
  <si>
    <t>Liabilities and Stockholders' Equity</t>
  </si>
  <si>
    <t>Current Liabilities</t>
  </si>
  <si>
    <t xml:space="preserve">     Debt, short term</t>
  </si>
  <si>
    <t xml:space="preserve">     Short term obligations of NMTC</t>
  </si>
  <si>
    <t xml:space="preserve">     Accounts payable</t>
  </si>
  <si>
    <t xml:space="preserve">     Contract liabilities</t>
  </si>
  <si>
    <t>Debt, long term</t>
  </si>
  <si>
    <t>Deferred tax liabilities</t>
  </si>
  <si>
    <t>Other long term liabilities</t>
  </si>
  <si>
    <t>New market tax credit obligations</t>
  </si>
  <si>
    <t>Stockholders equity</t>
  </si>
  <si>
    <t xml:space="preserve">     Preferred stock</t>
  </si>
  <si>
    <t xml:space="preserve">     Common stock</t>
  </si>
  <si>
    <t xml:space="preserve">     Retained earnings</t>
  </si>
  <si>
    <t xml:space="preserve">     APIC</t>
  </si>
  <si>
    <t>Total stockholders' equity</t>
  </si>
  <si>
    <t>Total liabilities and stockholders' equity</t>
  </si>
  <si>
    <t>-</t>
  </si>
  <si>
    <t xml:space="preserve">     Accrued liabilities</t>
  </si>
  <si>
    <t>Total current liabilities</t>
  </si>
  <si>
    <t xml:space="preserve">Total Liabilities  </t>
  </si>
  <si>
    <t>Operating Activities</t>
  </si>
  <si>
    <t xml:space="preserve">     Net Income</t>
  </si>
  <si>
    <t xml:space="preserve">     Depreciation and amortization</t>
  </si>
  <si>
    <t xml:space="preserve">     Amortixsyion of debt insurance costs</t>
  </si>
  <si>
    <t xml:space="preserve">     Provision; loss on AR, net of adjustments</t>
  </si>
  <si>
    <t xml:space="preserve">     Provision; loss on contract assets</t>
  </si>
  <si>
    <t xml:space="preserve">     Provision; excess and obsolete inventory, net of write-offs</t>
  </si>
  <si>
    <t xml:space="preserve">     Share based compensation</t>
  </si>
  <si>
    <t xml:space="preserve">     Other</t>
  </si>
  <si>
    <t xml:space="preserve">     Deferred income taxes</t>
  </si>
  <si>
    <t xml:space="preserve">          Changes in assets and liabilities</t>
  </si>
  <si>
    <t xml:space="preserve">          Accounts receivable</t>
  </si>
  <si>
    <t xml:space="preserve">          Income tax receivable</t>
  </si>
  <si>
    <t xml:space="preserve">          Inventories</t>
  </si>
  <si>
    <t xml:space="preserve">          Contract assets</t>
  </si>
  <si>
    <t xml:space="preserve">          Prepaid expenses and other long-term assets</t>
  </si>
  <si>
    <t xml:space="preserve">          Accounts payable</t>
  </si>
  <si>
    <t xml:space="preserve">          Contract liabilities</t>
  </si>
  <si>
    <t xml:space="preserve">          Extended warranties</t>
  </si>
  <si>
    <t xml:space="preserve">          Accrued liabilities and other long term liabilities</t>
  </si>
  <si>
    <t xml:space="preserve">     Net cash from operating activities</t>
  </si>
  <si>
    <t>Investing Activities</t>
  </si>
  <si>
    <t xml:space="preserve">     Amortizatino of right of use assets</t>
  </si>
  <si>
    <t xml:space="preserve">     Capital expenditures</t>
  </si>
  <si>
    <t xml:space="preserve">     Proceeds from government incentive grant</t>
  </si>
  <si>
    <t xml:space="preserve">     Proceeds from sale of PP&amp;E</t>
  </si>
  <si>
    <t xml:space="preserve">     Acquisition of intangible assets</t>
  </si>
  <si>
    <t xml:space="preserve">      Principal payments from note receivable</t>
  </si>
  <si>
    <t xml:space="preserve">     Net cash used in investing activities</t>
  </si>
  <si>
    <t>Financing Activities</t>
  </si>
  <si>
    <t xml:space="preserve">     Borrowings of debt</t>
  </si>
  <si>
    <t xml:space="preserve">     Payment of debt</t>
  </si>
  <si>
    <t xml:space="preserve">     Proceeds from financing obligations, net of insurance costs</t>
  </si>
  <si>
    <t xml:space="preserve">     Payment related to financing costs</t>
  </si>
  <si>
    <t xml:space="preserve">     Stock options exercised</t>
  </si>
  <si>
    <t xml:space="preserve">     Repurchase of stock - open market</t>
  </si>
  <si>
    <t xml:space="preserve">     Repurchase of stock - LTIP plans</t>
  </si>
  <si>
    <t xml:space="preserve">     Cash divdends paid to stockholders</t>
  </si>
  <si>
    <t xml:space="preserve">     Net Cash used in financing activities</t>
  </si>
  <si>
    <t>Net (decrease) increase in cash</t>
  </si>
  <si>
    <t>Cash, beginning of year</t>
  </si>
  <si>
    <t>Cash, end of year</t>
  </si>
  <si>
    <t xml:space="preserve">     Cash paid for building</t>
  </si>
  <si>
    <t xml:space="preserve">     Cash paid in business combo, net of cash acquired</t>
  </si>
  <si>
    <t>Forecast Assumptions</t>
  </si>
  <si>
    <t>Assumption</t>
  </si>
  <si>
    <t>Notes</t>
  </si>
  <si>
    <t>Revenue Growth</t>
  </si>
  <si>
    <t>SG&amp;A % of Revenue</t>
  </si>
  <si>
    <t>Tax Rate</t>
  </si>
  <si>
    <t>% of Revenue</t>
  </si>
  <si>
    <t>Effective Tax Rate</t>
  </si>
  <si>
    <t>% Growth</t>
  </si>
  <si>
    <t>CapEx % of Revenue</t>
  </si>
  <si>
    <t>Capital Spending</t>
  </si>
  <si>
    <t>Depreciation % of PP&amp;E</t>
  </si>
  <si>
    <t>Depreciation</t>
  </si>
  <si>
    <t>AR Days</t>
  </si>
  <si>
    <t>Days Sales Outstanding</t>
  </si>
  <si>
    <t>Inventory Days</t>
  </si>
  <si>
    <t>Days Inventory Outstanding</t>
  </si>
  <si>
    <t>AP Days</t>
  </si>
  <si>
    <t>Days Payable Outstanding</t>
  </si>
  <si>
    <t>Average</t>
  </si>
  <si>
    <t>Gross Margin</t>
  </si>
  <si>
    <t>Forecast Income Statement</t>
  </si>
  <si>
    <t>2025A</t>
  </si>
  <si>
    <t>2026E</t>
  </si>
  <si>
    <t>2027E</t>
  </si>
  <si>
    <t>2028E</t>
  </si>
  <si>
    <t>E = Estimate</t>
  </si>
  <si>
    <t>A=Actual</t>
  </si>
  <si>
    <t>Forecast Revenue Growth</t>
  </si>
  <si>
    <t>Forecast SG&amp;A %</t>
  </si>
  <si>
    <t>Forecast Tax Rate</t>
  </si>
  <si>
    <t>Forecast Gross Margin</t>
  </si>
  <si>
    <t>AAON Financial Modeling &amp; Forecasting Dashboard</t>
  </si>
  <si>
    <t>Historical Performance (2021–2025) &amp; Forecast (2026–2028)</t>
  </si>
  <si>
    <t>Revenue</t>
  </si>
  <si>
    <t>Operating Margin</t>
  </si>
  <si>
    <t>Gross Margin %</t>
  </si>
  <si>
    <t>Operating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</si>
</sst>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8" formatCode="0.0%"/>
    <numFmt numFmtId="172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0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5" fontId="0" fillId="0" borderId="0" xfId="1" applyNumberFormat="1" applyFont="1"/>
    <xf numFmtId="165" fontId="0" fillId="0" borderId="1" xfId="1" applyNumberFormat="1" applyFont="1" applyBorder="1"/>
    <xf numFmtId="0" fontId="0" fillId="0" borderId="0" xfId="0" applyBorder="1"/>
    <xf numFmtId="165" fontId="0" fillId="0" borderId="2" xfId="1" applyNumberFormat="1" applyFont="1" applyBorder="1"/>
    <xf numFmtId="165" fontId="0" fillId="0" borderId="0" xfId="1" applyNumberFormat="1" applyFont="1" applyBorder="1"/>
    <xf numFmtId="44" fontId="0" fillId="0" borderId="2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Fill="1" applyBorder="1"/>
    <xf numFmtId="165" fontId="0" fillId="0" borderId="1" xfId="1" applyNumberFormat="1" applyFont="1" applyFill="1" applyBorder="1"/>
    <xf numFmtId="165" fontId="0" fillId="0" borderId="4" xfId="0" applyNumberFormat="1" applyBorder="1"/>
    <xf numFmtId="165" fontId="0" fillId="0" borderId="2" xfId="0" applyNumberFormat="1" applyBorder="1"/>
    <xf numFmtId="165" fontId="0" fillId="0" borderId="5" xfId="0" applyNumberForma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168" fontId="0" fillId="0" borderId="0" xfId="2" applyNumberFormat="1" applyFont="1"/>
    <xf numFmtId="172" fontId="0" fillId="0" borderId="0" xfId="2" applyNumberFormat="1" applyFont="1"/>
    <xf numFmtId="172" fontId="0" fillId="0" borderId="0" xfId="0" applyNumberFormat="1"/>
    <xf numFmtId="0" fontId="2" fillId="3" borderId="0" xfId="0" applyFont="1" applyFill="1"/>
    <xf numFmtId="0" fontId="5" fillId="4" borderId="0" xfId="0" applyFont="1" applyFill="1" applyAlignment="1">
      <alignment horizontal="center"/>
    </xf>
    <xf numFmtId="165" fontId="4" fillId="5" borderId="8" xfId="1" applyNumberFormat="1" applyFont="1" applyFill="1" applyBorder="1"/>
    <xf numFmtId="165" fontId="4" fillId="5" borderId="9" xfId="1" applyNumberFormat="1" applyFont="1" applyFill="1" applyBorder="1"/>
    <xf numFmtId="165" fontId="4" fillId="5" borderId="8" xfId="1" applyNumberFormat="1" applyFont="1" applyFill="1" applyBorder="1" applyAlignment="1">
      <alignment horizontal="center"/>
    </xf>
    <xf numFmtId="165" fontId="4" fillId="5" borderId="9" xfId="1" applyNumberFormat="1" applyFont="1" applyFill="1" applyBorder="1" applyAlignment="1">
      <alignment horizontal="center"/>
    </xf>
    <xf numFmtId="168" fontId="4" fillId="5" borderId="8" xfId="2" applyNumberFormat="1" applyFont="1" applyFill="1" applyBorder="1" applyAlignment="1">
      <alignment horizontal="center"/>
    </xf>
    <xf numFmtId="168" fontId="4" fillId="5" borderId="9" xfId="2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 IS'!$B$2:$E$2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'Forecast IS'!$B$3:$E$3</c:f>
              <c:numCache>
                <c:formatCode>_("$"* #,##0_);_("$"* \(#,##0\);_("$"* "-"??_);_(@_)</c:formatCode>
                <c:ptCount val="4"/>
                <c:pt idx="0">
                  <c:v>1442976</c:v>
                </c:pt>
                <c:pt idx="1">
                  <c:v>1587273.6</c:v>
                </c:pt>
                <c:pt idx="2">
                  <c:v>1746000.9600000002</c:v>
                </c:pt>
                <c:pt idx="3">
                  <c:v>1920601.0560000003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A-E34A-BE31-8F5E1794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575872"/>
        <c:axId val="1898569600"/>
      </c:lineChart>
      <c:catAx>
        <c:axId val="189857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69600"/>
        <c:crosses val="autoZero"/>
        <c:auto val="1"/>
        <c:lblAlgn val="ctr"/>
        <c:lblOffset val="100"/>
        <c:noMultiLvlLbl val="0"/>
      </c:catAx>
      <c:valAx>
        <c:axId val="189856960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7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 IS'!$B$2:$E$2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'Forecast IS'!$B$13:$E$13</c:f>
              <c:numCache>
                <c:formatCode>_("$"* #,##0_);_("$"* \(#,##0\);_("$"* "-"??_);_(@_)</c:formatCode>
                <c:ptCount val="4"/>
                <c:pt idx="0">
                  <c:v>107593</c:v>
                </c:pt>
                <c:pt idx="1">
                  <c:v>139924.93392000004</c:v>
                </c:pt>
                <c:pt idx="2">
                  <c:v>155353.23331200005</c:v>
                </c:pt>
                <c:pt idx="3">
                  <c:v>172324.36264320003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6-C849-B4BB-0818F0D3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777280"/>
        <c:axId val="1911795968"/>
      </c:lineChart>
      <c:catAx>
        <c:axId val="189277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95968"/>
        <c:crosses val="autoZero"/>
        <c:auto val="1"/>
        <c:lblAlgn val="ctr"/>
        <c:lblOffset val="100"/>
        <c:noMultiLvlLbl val="0"/>
      </c:catAx>
      <c:valAx>
        <c:axId val="1911795968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77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Margin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IS'!$A$15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 IS'!$B$2:$E$2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'Forecast IS'!$B$15:$E$15</c:f>
              <c:numCache>
                <c:formatCode>0.0%</c:formatCode>
                <c:ptCount val="4"/>
                <c:pt idx="0">
                  <c:v>0.26793515623267472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2-8240-9CB1-0B1A5DECEE94}"/>
            </c:ext>
          </c:extLst>
        </c:ser>
        <c:ser>
          <c:idx val="1"/>
          <c:order val="1"/>
          <c:tx>
            <c:strRef>
              <c:f>'Forecast IS'!$A$16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'Forecast IS'!$B$2:$E$2</c:f>
              <c:strCache>
                <c:ptCount val="4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</c:strCache>
            </c:strRef>
          </c:cat>
          <c:val>
            <c:numRef>
              <c:f>'Forecast IS'!$B$16:$E$16</c:f>
              <c:numCache>
                <c:formatCode>0.0%</c:formatCode>
                <c:ptCount val="4"/>
                <c:pt idx="0">
                  <c:v>0.101351651032311</c:v>
                </c:pt>
                <c:pt idx="1">
                  <c:v>0.12000000000000002</c:v>
                </c:pt>
                <c:pt idx="2">
                  <c:v>0.12000000000000002</c:v>
                </c:pt>
                <c:pt idx="3">
                  <c:v>0.12000000000000001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2-8240-9CB1-0B1A5DECE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752256"/>
        <c:axId val="1990753600"/>
      </c:lineChart>
      <c:catAx>
        <c:axId val="19907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53600"/>
        <c:crosses val="autoZero"/>
        <c:auto val="1"/>
        <c:lblAlgn val="ctr"/>
        <c:lblOffset val="100"/>
        <c:noMultiLvlLbl val="0"/>
      </c:catAx>
      <c:valAx>
        <c:axId val="1990753600"/>
        <c:scaling>
          <c:orientation val="minMax"/>
          <c:min val="8.0000000000000016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75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11651</xdr:rowOff>
    </xdr:from>
    <xdr:to>
      <xdr:col>3</xdr:col>
      <xdr:colOff>803945</xdr:colOff>
      <xdr:row>24</xdr:row>
      <xdr:rowOff>23302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9C5F0-2670-D541-AD5C-60F0590B0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10</xdr:row>
      <xdr:rowOff>23301</xdr:rowOff>
    </xdr:from>
    <xdr:to>
      <xdr:col>8</xdr:col>
      <xdr:colOff>23302</xdr:colOff>
      <xdr:row>24</xdr:row>
      <xdr:rowOff>23302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C00C2F-4A6C-1148-8D7F-D1AD16AE4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11340</xdr:colOff>
      <xdr:row>24</xdr:row>
      <xdr:rowOff>47817</xdr:rowOff>
    </xdr:from>
    <xdr:to>
      <xdr:col>8</xdr:col>
      <xdr:colOff>0</xdr:colOff>
      <xdr:row>37</xdr:row>
      <xdr:rowOff>11044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A085CD-DDFF-6E4D-9B4C-E51A002DB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FC3F-0593-0049-B950-C9F0F037FFDC}">
  <dimension ref="A1:A7"/>
  <sheetViews>
    <sheetView workbookViewId="0">
      <selection activeCell="D14" sqref="D14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9CBF-E8DC-2F4E-BD1B-AF8CBFF510D8}">
  <dimension ref="A1:B4"/>
  <sheetViews>
    <sheetView workbookViewId="0">
      <selection activeCell="B9" sqref="B9"/>
    </sheetView>
  </sheetViews>
  <sheetFormatPr baseColWidth="10" defaultRowHeight="16" x14ac:dyDescent="0.2"/>
  <cols>
    <col min="1" max="1" width="26.83203125" bestFit="1" customWidth="1"/>
    <col min="2" max="2" width="31.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 t="s">
        <v>9</v>
      </c>
    </row>
    <row r="3" spans="1:2" x14ac:dyDescent="0.2">
      <c r="A3" t="s">
        <v>10</v>
      </c>
      <c r="B3" t="s">
        <v>11</v>
      </c>
    </row>
    <row r="4" spans="1:2" x14ac:dyDescent="0.2">
      <c r="A4" t="s">
        <v>12</v>
      </c>
      <c r="B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CC7E-35FA-084E-93E0-9CEFECB431F5}">
  <dimension ref="A1:F31"/>
  <sheetViews>
    <sheetView topLeftCell="C1" zoomScale="150" workbookViewId="0">
      <selection activeCell="B5" sqref="B5"/>
    </sheetView>
  </sheetViews>
  <sheetFormatPr baseColWidth="10" defaultRowHeight="16" x14ac:dyDescent="0.2"/>
  <cols>
    <col min="1" max="1" width="35.83203125" bestFit="1" customWidth="1"/>
    <col min="2" max="3" width="12.5" bestFit="1" customWidth="1"/>
    <col min="4" max="6" width="14" bestFit="1" customWidth="1"/>
  </cols>
  <sheetData>
    <row r="1" spans="1:6" ht="17" customHeight="1" x14ac:dyDescent="0.2">
      <c r="A1" s="2" t="s">
        <v>14</v>
      </c>
    </row>
    <row r="2" spans="1:6" x14ac:dyDescent="0.2">
      <c r="A2" s="2"/>
      <c r="B2">
        <v>2021</v>
      </c>
      <c r="C2">
        <v>2022</v>
      </c>
      <c r="D2">
        <v>2023</v>
      </c>
      <c r="E2">
        <v>2024</v>
      </c>
      <c r="F2">
        <v>2025</v>
      </c>
    </row>
    <row r="3" spans="1:6" x14ac:dyDescent="0.2">
      <c r="A3" t="s">
        <v>15</v>
      </c>
      <c r="B3" s="3">
        <v>534517</v>
      </c>
      <c r="C3" s="3">
        <v>888788</v>
      </c>
      <c r="D3" s="3">
        <v>1168518</v>
      </c>
      <c r="E3" s="3">
        <v>1200635</v>
      </c>
      <c r="F3" s="3">
        <v>1442976</v>
      </c>
    </row>
    <row r="4" spans="1:6" x14ac:dyDescent="0.2">
      <c r="A4" s="5" t="s">
        <v>16</v>
      </c>
      <c r="B4" s="4">
        <v>396687</v>
      </c>
      <c r="C4" s="4">
        <v>651216</v>
      </c>
      <c r="D4" s="4">
        <v>769498</v>
      </c>
      <c r="E4" s="4">
        <v>803526</v>
      </c>
      <c r="F4" s="4">
        <v>1056352</v>
      </c>
    </row>
    <row r="5" spans="1:6" x14ac:dyDescent="0.2">
      <c r="A5" t="s">
        <v>17</v>
      </c>
      <c r="B5" s="3">
        <f>B3-B4</f>
        <v>137830</v>
      </c>
      <c r="C5" s="3">
        <f>C3-C4</f>
        <v>237572</v>
      </c>
      <c r="D5" s="3">
        <f>D3-D4</f>
        <v>399020</v>
      </c>
      <c r="E5" s="3">
        <f t="shared" ref="E5:F5" si="0">E3-E4</f>
        <v>397109</v>
      </c>
      <c r="F5" s="3">
        <f t="shared" si="0"/>
        <v>386624</v>
      </c>
    </row>
    <row r="6" spans="1:6" x14ac:dyDescent="0.2">
      <c r="A6" t="s">
        <v>18</v>
      </c>
      <c r="B6" s="3">
        <v>68598</v>
      </c>
      <c r="C6" s="3">
        <v>110823</v>
      </c>
      <c r="D6" s="3">
        <v>171539</v>
      </c>
      <c r="E6" s="3">
        <v>188014</v>
      </c>
      <c r="F6" s="3">
        <v>239480</v>
      </c>
    </row>
    <row r="7" spans="1:6" x14ac:dyDescent="0.2">
      <c r="A7" t="s">
        <v>25</v>
      </c>
      <c r="B7" s="3">
        <v>-21</v>
      </c>
      <c r="C7" s="3">
        <v>-12</v>
      </c>
      <c r="D7" s="3">
        <v>-13</v>
      </c>
      <c r="E7" s="3">
        <v>-23</v>
      </c>
      <c r="F7" s="3">
        <v>-4</v>
      </c>
    </row>
    <row r="8" spans="1:6" x14ac:dyDescent="0.2">
      <c r="A8" t="s">
        <v>19</v>
      </c>
      <c r="B8" s="4">
        <v>69523</v>
      </c>
      <c r="C8" s="4">
        <v>126761</v>
      </c>
      <c r="D8" s="4">
        <v>227494</v>
      </c>
      <c r="E8" s="4">
        <v>209118</v>
      </c>
      <c r="F8" s="4">
        <v>146248</v>
      </c>
    </row>
    <row r="9" spans="1:6" x14ac:dyDescent="0.2">
      <c r="A9" t="s">
        <v>20</v>
      </c>
      <c r="B9" s="3">
        <v>-132</v>
      </c>
      <c r="C9" s="3">
        <v>-2627</v>
      </c>
      <c r="D9" s="3">
        <v>-4843</v>
      </c>
      <c r="E9" s="3">
        <v>-2905</v>
      </c>
      <c r="F9" s="3">
        <v>-17726</v>
      </c>
    </row>
    <row r="10" spans="1:6" x14ac:dyDescent="0.2">
      <c r="A10" t="s">
        <v>26</v>
      </c>
      <c r="B10" s="3">
        <v>61</v>
      </c>
      <c r="C10" s="3">
        <v>399</v>
      </c>
      <c r="D10" s="3">
        <v>503</v>
      </c>
      <c r="E10" s="3">
        <v>378</v>
      </c>
      <c r="F10" s="3">
        <v>230</v>
      </c>
    </row>
    <row r="11" spans="1:6" ht="17" thickBot="1" x14ac:dyDescent="0.25">
      <c r="A11" t="s">
        <v>21</v>
      </c>
      <c r="B11" s="6">
        <v>69182</v>
      </c>
      <c r="C11" s="6">
        <v>124533</v>
      </c>
      <c r="D11" s="6">
        <v>223154</v>
      </c>
      <c r="E11" s="6">
        <v>206591</v>
      </c>
      <c r="F11" s="6">
        <v>128752</v>
      </c>
    </row>
    <row r="12" spans="1:6" ht="17" thickTop="1" x14ac:dyDescent="0.2">
      <c r="A12" t="s">
        <v>27</v>
      </c>
      <c r="B12" s="3">
        <v>10424</v>
      </c>
      <c r="C12" s="3">
        <v>24157</v>
      </c>
      <c r="D12" s="3">
        <v>45531</v>
      </c>
      <c r="E12" s="3">
        <v>38032</v>
      </c>
      <c r="F12" s="3">
        <v>21159</v>
      </c>
    </row>
    <row r="13" spans="1:6" x14ac:dyDescent="0.2">
      <c r="A13" t="s">
        <v>22</v>
      </c>
      <c r="B13" s="4">
        <f>B11-B12</f>
        <v>58758</v>
      </c>
      <c r="C13" s="4">
        <f>C11-C12</f>
        <v>100376</v>
      </c>
      <c r="D13" s="4">
        <f t="shared" ref="D13:E13" si="1">D11-D12</f>
        <v>177623</v>
      </c>
      <c r="E13" s="4">
        <f t="shared" si="1"/>
        <v>168559</v>
      </c>
      <c r="F13" s="4">
        <f>F11-F12</f>
        <v>107593</v>
      </c>
    </row>
    <row r="14" spans="1:6" x14ac:dyDescent="0.2">
      <c r="A14" t="s">
        <v>28</v>
      </c>
      <c r="B14" s="3"/>
      <c r="C14" s="3"/>
      <c r="D14" s="3"/>
      <c r="E14" s="3"/>
      <c r="F14" s="3"/>
    </row>
    <row r="15" spans="1:6" ht="17" thickBot="1" x14ac:dyDescent="0.25">
      <c r="A15" t="s">
        <v>29</v>
      </c>
      <c r="B15" s="8">
        <v>0.75</v>
      </c>
      <c r="C15" s="8">
        <v>1.26</v>
      </c>
      <c r="D15" s="8">
        <v>2.19</v>
      </c>
      <c r="E15" s="8">
        <v>2.0699999999999998</v>
      </c>
      <c r="F15" s="8">
        <v>1.32</v>
      </c>
    </row>
    <row r="16" spans="1:6" ht="18" thickTop="1" thickBot="1" x14ac:dyDescent="0.25">
      <c r="A16" t="s">
        <v>30</v>
      </c>
      <c r="B16" s="8">
        <v>0.73</v>
      </c>
      <c r="C16" s="8">
        <v>1.24</v>
      </c>
      <c r="D16" s="8">
        <v>2.13</v>
      </c>
      <c r="E16" s="8">
        <v>2.02</v>
      </c>
      <c r="F16" s="8">
        <v>1.29</v>
      </c>
    </row>
    <row r="17" spans="1:6" ht="18" thickTop="1" thickBot="1" x14ac:dyDescent="0.25">
      <c r="A17" t="s">
        <v>31</v>
      </c>
      <c r="B17" s="8">
        <v>0.25</v>
      </c>
      <c r="C17" s="8">
        <v>0.28999999999999998</v>
      </c>
      <c r="D17" s="8">
        <v>0.32</v>
      </c>
      <c r="E17" s="8">
        <v>0.32</v>
      </c>
      <c r="F17" s="8">
        <v>0.4</v>
      </c>
    </row>
    <row r="18" spans="1:6" ht="17" thickTop="1" x14ac:dyDescent="0.2">
      <c r="A18" t="s">
        <v>32</v>
      </c>
      <c r="B18" s="3"/>
      <c r="C18" s="3"/>
      <c r="D18" s="3"/>
      <c r="E18" s="3"/>
      <c r="F18" s="3"/>
    </row>
    <row r="19" spans="1:6" ht="17" thickBot="1" x14ac:dyDescent="0.25">
      <c r="A19" t="s">
        <v>33</v>
      </c>
      <c r="B19" s="6">
        <v>78606298</v>
      </c>
      <c r="C19" s="6">
        <v>79582480</v>
      </c>
      <c r="D19" s="6">
        <v>81156114</v>
      </c>
      <c r="E19" s="6">
        <v>81473131</v>
      </c>
      <c r="F19" s="6">
        <v>81529140</v>
      </c>
    </row>
    <row r="20" spans="1:6" ht="18" thickTop="1" thickBot="1" x14ac:dyDescent="0.25">
      <c r="A20" t="s">
        <v>34</v>
      </c>
      <c r="B20" s="9">
        <v>80593484</v>
      </c>
      <c r="C20" s="9">
        <v>81145610</v>
      </c>
      <c r="D20" s="9">
        <v>83295290</v>
      </c>
      <c r="E20" s="9">
        <v>83629502</v>
      </c>
      <c r="F20" s="9">
        <v>83105538</v>
      </c>
    </row>
    <row r="21" spans="1:6" ht="17" thickTop="1" x14ac:dyDescent="0.2">
      <c r="B21" s="3"/>
      <c r="C21" s="3"/>
      <c r="D21" s="3"/>
      <c r="E21" s="3"/>
      <c r="F21" s="3"/>
    </row>
    <row r="22" spans="1:6" x14ac:dyDescent="0.2">
      <c r="B22" s="3"/>
      <c r="C22" s="3"/>
      <c r="D22" s="3"/>
      <c r="E22" s="3"/>
      <c r="F22" s="3"/>
    </row>
    <row r="23" spans="1:6" x14ac:dyDescent="0.2">
      <c r="B23" s="3"/>
      <c r="C23" s="3"/>
      <c r="D23" s="3"/>
      <c r="E23" s="3"/>
      <c r="F23" s="3"/>
    </row>
    <row r="24" spans="1:6" x14ac:dyDescent="0.2">
      <c r="B24" s="3"/>
      <c r="C24" s="3"/>
      <c r="D24" s="3"/>
      <c r="E24" s="3"/>
      <c r="F24" s="3"/>
    </row>
    <row r="25" spans="1:6" x14ac:dyDescent="0.2">
      <c r="B25" s="3"/>
      <c r="C25" s="3"/>
      <c r="D25" s="3"/>
      <c r="E25" s="3"/>
      <c r="F25" s="3"/>
    </row>
    <row r="26" spans="1:6" x14ac:dyDescent="0.2">
      <c r="B26" s="3"/>
      <c r="C26" s="3"/>
      <c r="D26" s="3"/>
      <c r="E26" s="3"/>
      <c r="F26" s="3"/>
    </row>
    <row r="27" spans="1:6" x14ac:dyDescent="0.2">
      <c r="B27" s="3"/>
      <c r="C27" s="3"/>
      <c r="D27" s="3"/>
      <c r="E27" s="3"/>
      <c r="F27" s="3"/>
    </row>
    <row r="28" spans="1:6" x14ac:dyDescent="0.2">
      <c r="B28" s="3"/>
      <c r="C28" s="3"/>
      <c r="D28" s="3"/>
      <c r="E28" s="3"/>
      <c r="F28" s="3"/>
    </row>
    <row r="29" spans="1:6" x14ac:dyDescent="0.2">
      <c r="B29" s="3"/>
      <c r="C29" s="3"/>
      <c r="D29" s="3"/>
      <c r="E29" s="3"/>
      <c r="F29" s="3"/>
    </row>
    <row r="30" spans="1:6" x14ac:dyDescent="0.2">
      <c r="B30" s="3"/>
      <c r="C30" s="3"/>
      <c r="D30" s="3"/>
      <c r="E30" s="3"/>
      <c r="F30" s="3"/>
    </row>
    <row r="31" spans="1:6" x14ac:dyDescent="0.2">
      <c r="B31" s="3"/>
      <c r="C31" s="3"/>
      <c r="D31" s="3"/>
      <c r="E31" s="3"/>
      <c r="F31" s="3"/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D93F-3633-B843-A0AD-A1104BBB98A9}">
  <dimension ref="A1:F39"/>
  <sheetViews>
    <sheetView workbookViewId="0">
      <selection activeCell="B39" sqref="B39"/>
    </sheetView>
  </sheetViews>
  <sheetFormatPr baseColWidth="10" defaultRowHeight="16" x14ac:dyDescent="0.2"/>
  <cols>
    <col min="1" max="1" width="33.33203125" bestFit="1" customWidth="1"/>
    <col min="3" max="3" width="12.5" bestFit="1" customWidth="1"/>
    <col min="4" max="4" width="14.6640625" bestFit="1" customWidth="1"/>
    <col min="5" max="6" width="16" bestFit="1" customWidth="1"/>
  </cols>
  <sheetData>
    <row r="1" spans="1:6" x14ac:dyDescent="0.2">
      <c r="A1" s="1" t="s">
        <v>23</v>
      </c>
    </row>
    <row r="2" spans="1:6" x14ac:dyDescent="0.2">
      <c r="A2" s="1"/>
    </row>
    <row r="3" spans="1:6" x14ac:dyDescent="0.2">
      <c r="A3" t="s">
        <v>36</v>
      </c>
      <c r="B3">
        <v>2021</v>
      </c>
      <c r="C3">
        <v>2022</v>
      </c>
      <c r="D3">
        <v>2023</v>
      </c>
      <c r="E3">
        <v>2024</v>
      </c>
      <c r="F3">
        <v>2025</v>
      </c>
    </row>
    <row r="4" spans="1:6" x14ac:dyDescent="0.2">
      <c r="A4" t="s">
        <v>37</v>
      </c>
      <c r="B4" s="3">
        <v>2859</v>
      </c>
      <c r="C4" s="3">
        <v>5451</v>
      </c>
      <c r="D4" s="3">
        <v>287</v>
      </c>
      <c r="E4" s="3">
        <v>14</v>
      </c>
      <c r="F4" s="3">
        <v>13</v>
      </c>
    </row>
    <row r="5" spans="1:6" x14ac:dyDescent="0.2">
      <c r="A5" t="s">
        <v>38</v>
      </c>
      <c r="B5" s="3">
        <v>628</v>
      </c>
      <c r="C5" s="3">
        <v>498</v>
      </c>
      <c r="D5" s="3">
        <v>8736</v>
      </c>
      <c r="E5" s="3">
        <v>6500</v>
      </c>
      <c r="F5" s="3">
        <v>1226</v>
      </c>
    </row>
    <row r="6" spans="1:6" x14ac:dyDescent="0.2">
      <c r="A6" t="s">
        <v>39</v>
      </c>
      <c r="B6" s="3">
        <v>70780</v>
      </c>
      <c r="C6" s="3">
        <v>127158</v>
      </c>
      <c r="D6" s="3">
        <v>138108</v>
      </c>
      <c r="E6" s="3">
        <v>147434</v>
      </c>
      <c r="F6" s="3">
        <v>314387</v>
      </c>
    </row>
    <row r="7" spans="1:6" x14ac:dyDescent="0.2">
      <c r="A7" t="s">
        <v>40</v>
      </c>
      <c r="B7" s="3">
        <v>5723</v>
      </c>
      <c r="C7" t="s">
        <v>67</v>
      </c>
      <c r="D7" s="3">
        <v>0</v>
      </c>
      <c r="E7" s="3">
        <v>4115</v>
      </c>
      <c r="F7" s="3">
        <v>27445</v>
      </c>
    </row>
    <row r="8" spans="1:6" x14ac:dyDescent="0.2">
      <c r="A8" t="s">
        <v>41</v>
      </c>
      <c r="B8" s="3">
        <v>130270</v>
      </c>
      <c r="C8" s="3">
        <v>198939</v>
      </c>
      <c r="D8" s="3">
        <v>213532</v>
      </c>
      <c r="E8" s="3">
        <v>187420</v>
      </c>
      <c r="F8" s="3">
        <v>261151</v>
      </c>
    </row>
    <row r="9" spans="1:6" x14ac:dyDescent="0.2">
      <c r="A9" t="s">
        <v>42</v>
      </c>
      <c r="B9" s="3">
        <v>5749</v>
      </c>
      <c r="C9" s="3">
        <v>15151</v>
      </c>
      <c r="D9" s="3">
        <v>45194</v>
      </c>
      <c r="E9" s="3">
        <v>135421</v>
      </c>
      <c r="F9" s="3">
        <v>247037</v>
      </c>
    </row>
    <row r="10" spans="1:6" x14ac:dyDescent="0.2">
      <c r="A10" t="s">
        <v>43</v>
      </c>
      <c r="B10" s="4">
        <v>2071</v>
      </c>
      <c r="C10" s="4">
        <v>1919</v>
      </c>
      <c r="D10" s="4">
        <v>3097</v>
      </c>
      <c r="E10" s="4">
        <v>7308</v>
      </c>
      <c r="F10" s="4">
        <v>17921</v>
      </c>
    </row>
    <row r="11" spans="1:6" x14ac:dyDescent="0.2">
      <c r="A11" t="s">
        <v>44</v>
      </c>
      <c r="B11" s="3">
        <f>SUM(B4:B10)</f>
        <v>218080</v>
      </c>
      <c r="C11" s="3">
        <f>SUM(C4:C10)</f>
        <v>349116</v>
      </c>
      <c r="D11" s="3">
        <f>SUM(D4:D10)</f>
        <v>408954</v>
      </c>
      <c r="E11" s="3">
        <f>SUM(E4:E10)</f>
        <v>488212</v>
      </c>
      <c r="F11" s="3">
        <f>SUM(F4:F10)</f>
        <v>869180</v>
      </c>
    </row>
    <row r="12" spans="1:6" x14ac:dyDescent="0.2">
      <c r="A12" t="s">
        <v>45</v>
      </c>
      <c r="B12" s="3">
        <v>258062</v>
      </c>
      <c r="C12" s="3">
        <v>304745</v>
      </c>
      <c r="D12" s="3">
        <v>369947</v>
      </c>
      <c r="E12" s="3">
        <v>510356</v>
      </c>
      <c r="F12" s="3">
        <v>631262</v>
      </c>
    </row>
    <row r="13" spans="1:6" x14ac:dyDescent="0.2">
      <c r="A13" t="s">
        <v>46</v>
      </c>
      <c r="B13" s="3">
        <f>70121+85727</f>
        <v>155848</v>
      </c>
      <c r="C13" s="3">
        <f>64606+81892</f>
        <v>146498</v>
      </c>
      <c r="D13" s="3">
        <v>149945</v>
      </c>
      <c r="E13" s="3">
        <v>160152</v>
      </c>
      <c r="F13" s="3">
        <v>165799</v>
      </c>
    </row>
    <row r="14" spans="1:6" x14ac:dyDescent="0.2">
      <c r="A14" t="s">
        <v>47</v>
      </c>
      <c r="B14" s="3">
        <v>16974</v>
      </c>
      <c r="C14" s="3">
        <v>7123</v>
      </c>
      <c r="D14" s="3">
        <v>11774</v>
      </c>
      <c r="E14" s="3">
        <v>15436</v>
      </c>
      <c r="F14" s="3">
        <v>17988</v>
      </c>
    </row>
    <row r="15" spans="1:6" x14ac:dyDescent="0.2">
      <c r="A15" t="s">
        <v>48</v>
      </c>
      <c r="B15" s="3">
        <v>1216</v>
      </c>
      <c r="C15" s="3">
        <v>6421</v>
      </c>
      <c r="D15" s="3">
        <v>816</v>
      </c>
      <c r="E15" s="3">
        <v>242</v>
      </c>
      <c r="F15" s="3">
        <v>2281</v>
      </c>
    </row>
    <row r="16" spans="1:6" x14ac:dyDescent="0.2">
      <c r="A16" t="s">
        <v>49</v>
      </c>
      <c r="B16" s="4" t="s">
        <v>67</v>
      </c>
      <c r="C16" s="4" t="s">
        <v>67</v>
      </c>
      <c r="D16" s="4">
        <v>0</v>
      </c>
      <c r="E16" s="4">
        <v>836</v>
      </c>
      <c r="F16" s="4">
        <v>0</v>
      </c>
    </row>
    <row r="17" spans="1:6" x14ac:dyDescent="0.2">
      <c r="A17" t="s">
        <v>35</v>
      </c>
      <c r="B17" s="3">
        <f>SUM(B11:B16)</f>
        <v>650180</v>
      </c>
      <c r="C17" s="3">
        <f>SUM(C11:C16)</f>
        <v>813903</v>
      </c>
      <c r="D17" s="3">
        <f>SUM(D11:D16)</f>
        <v>941436</v>
      </c>
      <c r="E17" s="3">
        <f>SUM(E11:E16)</f>
        <v>1175234</v>
      </c>
      <c r="F17" s="3">
        <f>SUM(F11:F16)</f>
        <v>1686510</v>
      </c>
    </row>
    <row r="19" spans="1:6" x14ac:dyDescent="0.2">
      <c r="A19" t="s">
        <v>50</v>
      </c>
    </row>
    <row r="20" spans="1:6" x14ac:dyDescent="0.2">
      <c r="A20" t="s">
        <v>51</v>
      </c>
      <c r="B20" s="3"/>
      <c r="C20" s="3"/>
      <c r="D20" s="3"/>
    </row>
    <row r="21" spans="1:6" x14ac:dyDescent="0.2">
      <c r="A21" t="s">
        <v>52</v>
      </c>
      <c r="B21" s="3">
        <v>0</v>
      </c>
      <c r="C21" s="3">
        <v>0</v>
      </c>
      <c r="D21" s="3">
        <v>0</v>
      </c>
      <c r="E21" s="3">
        <v>16000</v>
      </c>
      <c r="F21" s="3">
        <v>0</v>
      </c>
    </row>
    <row r="22" spans="1:6" x14ac:dyDescent="0.2">
      <c r="A22" t="s">
        <v>53</v>
      </c>
      <c r="B22" s="3">
        <v>0</v>
      </c>
      <c r="C22" s="3">
        <v>0</v>
      </c>
      <c r="D22" s="3">
        <v>0</v>
      </c>
      <c r="E22" s="3">
        <v>0</v>
      </c>
      <c r="F22" s="3">
        <v>7535</v>
      </c>
    </row>
    <row r="23" spans="1:6" x14ac:dyDescent="0.2">
      <c r="A23" t="s">
        <v>54</v>
      </c>
      <c r="B23" s="3">
        <v>29020</v>
      </c>
      <c r="C23" s="3">
        <v>45513</v>
      </c>
      <c r="D23" s="3">
        <v>27484</v>
      </c>
      <c r="E23" s="3">
        <v>44645</v>
      </c>
      <c r="F23" s="3">
        <v>110437</v>
      </c>
    </row>
    <row r="24" spans="1:6" x14ac:dyDescent="0.2">
      <c r="A24" t="s">
        <v>68</v>
      </c>
      <c r="B24" s="7">
        <v>50206</v>
      </c>
      <c r="C24" s="7">
        <v>78630</v>
      </c>
      <c r="D24" s="3">
        <v>85508</v>
      </c>
      <c r="E24" s="7">
        <v>99347</v>
      </c>
      <c r="F24" s="7">
        <v>132213</v>
      </c>
    </row>
    <row r="25" spans="1:6" x14ac:dyDescent="0.2">
      <c r="A25" t="s">
        <v>55</v>
      </c>
      <c r="B25" s="4">
        <v>7542</v>
      </c>
      <c r="C25" s="4">
        <v>21424</v>
      </c>
      <c r="D25" s="4">
        <v>13757</v>
      </c>
      <c r="E25" s="11">
        <v>14913</v>
      </c>
      <c r="F25" s="4">
        <v>80670</v>
      </c>
    </row>
    <row r="26" spans="1:6" x14ac:dyDescent="0.2">
      <c r="A26" t="s">
        <v>69</v>
      </c>
      <c r="B26" s="7">
        <f>SUM(B21:B25)</f>
        <v>86768</v>
      </c>
      <c r="C26" s="7">
        <f>SUM(C21:C25)</f>
        <v>145567</v>
      </c>
      <c r="D26" s="7">
        <f>SUM(D21:D25)</f>
        <v>126749</v>
      </c>
      <c r="E26" s="7">
        <f>SUM(E21:E25)</f>
        <v>174905</v>
      </c>
      <c r="F26" s="3">
        <f>SUM(F21:F25)</f>
        <v>330855</v>
      </c>
    </row>
    <row r="27" spans="1:6" x14ac:dyDescent="0.2">
      <c r="A27" t="s">
        <v>56</v>
      </c>
      <c r="B27" s="3">
        <f>40000</f>
        <v>40000</v>
      </c>
      <c r="C27" s="3">
        <v>71004</v>
      </c>
      <c r="D27" s="3">
        <v>38328</v>
      </c>
      <c r="E27" s="10">
        <v>138981</v>
      </c>
      <c r="F27" s="3">
        <v>398320</v>
      </c>
    </row>
    <row r="28" spans="1:6" x14ac:dyDescent="0.2">
      <c r="A28" t="s">
        <v>57</v>
      </c>
      <c r="B28" s="3">
        <f>31993</f>
        <v>31993</v>
      </c>
      <c r="C28" s="3">
        <v>18661</v>
      </c>
      <c r="D28" s="3">
        <v>12134</v>
      </c>
      <c r="E28" s="10">
        <v>0</v>
      </c>
      <c r="F28" s="3">
        <v>30313</v>
      </c>
    </row>
    <row r="29" spans="1:6" x14ac:dyDescent="0.2">
      <c r="A29" t="s">
        <v>58</v>
      </c>
      <c r="B29" s="3">
        <f>18843</f>
        <v>18843</v>
      </c>
      <c r="C29" s="3">
        <v>11508</v>
      </c>
      <c r="D29" s="3">
        <v>16807</v>
      </c>
      <c r="E29" s="10">
        <v>20743</v>
      </c>
      <c r="F29" s="3">
        <v>23299</v>
      </c>
    </row>
    <row r="30" spans="1:6" x14ac:dyDescent="0.2">
      <c r="A30" t="s">
        <v>59</v>
      </c>
      <c r="B30" s="4">
        <f>6406</f>
        <v>6406</v>
      </c>
      <c r="C30" s="4">
        <v>6449</v>
      </c>
      <c r="D30" s="4">
        <v>12194</v>
      </c>
      <c r="E30" s="11">
        <v>16113</v>
      </c>
      <c r="F30" s="4">
        <v>8738</v>
      </c>
    </row>
    <row r="31" spans="1:6" ht="17" thickBot="1" x14ac:dyDescent="0.25">
      <c r="A31" t="s">
        <v>70</v>
      </c>
      <c r="B31" s="6">
        <f>SUM(B26:B30)</f>
        <v>184010</v>
      </c>
      <c r="C31" s="6">
        <f>SUM(C26:C30)</f>
        <v>253189</v>
      </c>
      <c r="D31" s="6">
        <f>SUM(D26:D30)</f>
        <v>206212</v>
      </c>
      <c r="E31" s="13">
        <f>SUM(E26:E30)</f>
        <v>350742</v>
      </c>
      <c r="F31" s="13">
        <f>SUM(F26:F30)</f>
        <v>791525</v>
      </c>
    </row>
    <row r="32" spans="1:6" ht="17" thickTop="1" x14ac:dyDescent="0.2">
      <c r="A32" t="s">
        <v>60</v>
      </c>
      <c r="B32" s="3"/>
      <c r="C32" s="3"/>
      <c r="D32" s="3"/>
    </row>
    <row r="33" spans="1:6" x14ac:dyDescent="0.2">
      <c r="A33" t="s">
        <v>61</v>
      </c>
      <c r="B33" s="3">
        <v>0</v>
      </c>
      <c r="C33" s="3">
        <v>0</v>
      </c>
      <c r="D33" s="3">
        <v>0</v>
      </c>
      <c r="E33" s="10">
        <v>0</v>
      </c>
      <c r="F33" s="3">
        <v>0</v>
      </c>
    </row>
    <row r="34" spans="1:6" x14ac:dyDescent="0.2">
      <c r="A34" t="s">
        <v>62</v>
      </c>
      <c r="B34" s="3">
        <v>210</v>
      </c>
      <c r="C34" s="3">
        <v>322</v>
      </c>
      <c r="D34" s="3">
        <v>326</v>
      </c>
      <c r="E34" s="10">
        <v>326</v>
      </c>
      <c r="F34" s="3">
        <v>327</v>
      </c>
    </row>
    <row r="35" spans="1:6" x14ac:dyDescent="0.2">
      <c r="A35" t="s">
        <v>64</v>
      </c>
      <c r="B35" s="3">
        <v>81654</v>
      </c>
      <c r="C35" s="3">
        <v>98735</v>
      </c>
      <c r="D35" s="3">
        <v>122063</v>
      </c>
      <c r="E35" s="10">
        <v>68946</v>
      </c>
      <c r="F35" s="3">
        <v>64358</v>
      </c>
    </row>
    <row r="36" spans="1:6" x14ac:dyDescent="0.2">
      <c r="A36" t="s">
        <v>63</v>
      </c>
      <c r="B36" s="4">
        <v>384306</v>
      </c>
      <c r="C36" s="4">
        <v>461657</v>
      </c>
      <c r="D36" s="4">
        <v>612835</v>
      </c>
      <c r="E36" s="11">
        <v>755310</v>
      </c>
      <c r="F36" s="4">
        <v>830300</v>
      </c>
    </row>
    <row r="37" spans="1:6" x14ac:dyDescent="0.2">
      <c r="A37" t="s">
        <v>65</v>
      </c>
      <c r="B37" s="15">
        <f>SUM(B33:B36)</f>
        <v>466170</v>
      </c>
      <c r="C37" s="15">
        <f>SUM(C33:C36)</f>
        <v>560714</v>
      </c>
      <c r="D37" s="15">
        <f>SUM(D33:D36)</f>
        <v>735224</v>
      </c>
      <c r="E37" s="12">
        <f>SUM(E33:E36)</f>
        <v>824582</v>
      </c>
      <c r="F37" s="12">
        <f>SUM(F33:F36)</f>
        <v>894985</v>
      </c>
    </row>
    <row r="38" spans="1:6" ht="17" thickBot="1" x14ac:dyDescent="0.25">
      <c r="A38" t="s">
        <v>66</v>
      </c>
      <c r="B38" s="16">
        <f>B37+B31</f>
        <v>650180</v>
      </c>
      <c r="C38" s="16">
        <f>C31+C37</f>
        <v>813903</v>
      </c>
      <c r="D38" s="16">
        <f>D31+D37</f>
        <v>941436</v>
      </c>
      <c r="E38" s="14">
        <f>E31+E37</f>
        <v>1175324</v>
      </c>
      <c r="F38" s="14">
        <f>F31+F37</f>
        <v>1686510</v>
      </c>
    </row>
    <row r="39" spans="1:6" ht="17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D1C3-3111-964E-815B-8AC651008185}">
  <dimension ref="A1:F47"/>
  <sheetViews>
    <sheetView zoomScale="91" workbookViewId="0">
      <selection activeCell="B47" sqref="B47"/>
    </sheetView>
  </sheetViews>
  <sheetFormatPr baseColWidth="10" defaultRowHeight="16" x14ac:dyDescent="0.2"/>
  <cols>
    <col min="1" max="1" width="49.5" bestFit="1" customWidth="1"/>
    <col min="4" max="6" width="13.1640625" bestFit="1" customWidth="1"/>
  </cols>
  <sheetData>
    <row r="1" spans="1:6" x14ac:dyDescent="0.2">
      <c r="A1" t="s">
        <v>24</v>
      </c>
    </row>
    <row r="2" spans="1:6" x14ac:dyDescent="0.2">
      <c r="B2">
        <v>2021</v>
      </c>
      <c r="C2">
        <v>2022</v>
      </c>
      <c r="D2">
        <v>2023</v>
      </c>
      <c r="E2">
        <v>2024</v>
      </c>
      <c r="F2">
        <v>2025</v>
      </c>
    </row>
    <row r="3" spans="1:6" x14ac:dyDescent="0.2">
      <c r="A3" t="s">
        <v>71</v>
      </c>
    </row>
    <row r="4" spans="1:6" x14ac:dyDescent="0.2">
      <c r="A4" t="s">
        <v>72</v>
      </c>
      <c r="B4" s="3">
        <v>58758</v>
      </c>
      <c r="C4" s="3">
        <v>100376</v>
      </c>
      <c r="D4" s="3">
        <v>177623</v>
      </c>
      <c r="E4" s="3">
        <v>168559</v>
      </c>
      <c r="F4" s="3">
        <v>107593</v>
      </c>
    </row>
    <row r="5" spans="1:6" x14ac:dyDescent="0.2">
      <c r="A5" t="s">
        <v>73</v>
      </c>
      <c r="B5" s="3">
        <v>30343</v>
      </c>
      <c r="C5" s="3">
        <v>35106</v>
      </c>
      <c r="D5" s="3">
        <v>46468</v>
      </c>
      <c r="E5" s="3">
        <v>62735</v>
      </c>
      <c r="F5" s="3">
        <v>79191</v>
      </c>
    </row>
    <row r="6" spans="1:6" x14ac:dyDescent="0.2">
      <c r="A6" t="s">
        <v>74</v>
      </c>
      <c r="B6" s="3">
        <v>43</v>
      </c>
      <c r="C6" s="3">
        <v>43</v>
      </c>
      <c r="D6" s="3">
        <v>82</v>
      </c>
      <c r="E6" s="3">
        <v>154</v>
      </c>
      <c r="F6" s="3">
        <v>394</v>
      </c>
    </row>
    <row r="7" spans="1:6" x14ac:dyDescent="0.2">
      <c r="A7" t="s">
        <v>93</v>
      </c>
      <c r="B7" s="3">
        <v>73</v>
      </c>
      <c r="C7" s="3">
        <v>324</v>
      </c>
      <c r="D7" s="3">
        <v>324</v>
      </c>
      <c r="E7" s="3">
        <v>189</v>
      </c>
      <c r="F7" s="3">
        <v>166</v>
      </c>
    </row>
    <row r="8" spans="1:6" x14ac:dyDescent="0.2">
      <c r="A8" t="s">
        <v>75</v>
      </c>
      <c r="B8" s="3">
        <v>43</v>
      </c>
      <c r="C8" s="3">
        <v>-72</v>
      </c>
      <c r="D8" s="3">
        <v>-154</v>
      </c>
      <c r="E8" s="3">
        <v>715</v>
      </c>
      <c r="F8" s="3">
        <v>70</v>
      </c>
    </row>
    <row r="9" spans="1:6" x14ac:dyDescent="0.2">
      <c r="A9" t="s">
        <v>76</v>
      </c>
      <c r="B9" s="3">
        <v>0</v>
      </c>
      <c r="C9" s="3">
        <v>0</v>
      </c>
      <c r="D9" s="3">
        <v>0</v>
      </c>
      <c r="E9" s="3">
        <v>399</v>
      </c>
      <c r="F9" s="3">
        <v>200</v>
      </c>
    </row>
    <row r="10" spans="1:6" x14ac:dyDescent="0.2">
      <c r="A10" t="s">
        <v>77</v>
      </c>
      <c r="B10" s="3">
        <v>629</v>
      </c>
      <c r="C10" s="3">
        <v>2740</v>
      </c>
      <c r="D10" s="3">
        <v>1633</v>
      </c>
      <c r="E10" s="3">
        <v>-968</v>
      </c>
      <c r="F10" s="3">
        <v>152</v>
      </c>
    </row>
    <row r="11" spans="1:6" x14ac:dyDescent="0.2">
      <c r="A11" t="s">
        <v>78</v>
      </c>
      <c r="B11" s="3">
        <v>11812</v>
      </c>
      <c r="C11" s="3">
        <v>13700</v>
      </c>
      <c r="D11" s="3">
        <v>16384</v>
      </c>
      <c r="E11" s="3">
        <v>16729</v>
      </c>
      <c r="F11" s="3">
        <v>17994</v>
      </c>
    </row>
    <row r="12" spans="1:6" x14ac:dyDescent="0.2">
      <c r="A12" t="s">
        <v>79</v>
      </c>
      <c r="B12" s="3">
        <v>-46</v>
      </c>
      <c r="C12" s="3">
        <f>-12+41-22</f>
        <v>7</v>
      </c>
      <c r="D12" s="3">
        <v>-44</v>
      </c>
      <c r="E12" s="3">
        <v>-4</v>
      </c>
      <c r="F12" s="3">
        <v>-15</v>
      </c>
    </row>
    <row r="13" spans="1:6" x14ac:dyDescent="0.2">
      <c r="A13" t="s">
        <v>80</v>
      </c>
      <c r="B13" s="3">
        <v>3669</v>
      </c>
      <c r="C13" s="3">
        <v>-13332</v>
      </c>
      <c r="D13" s="3">
        <v>-6527</v>
      </c>
      <c r="E13" s="3">
        <v>-6606</v>
      </c>
      <c r="F13" s="3">
        <v>31149</v>
      </c>
    </row>
    <row r="14" spans="1:6" x14ac:dyDescent="0.2">
      <c r="A14" t="s">
        <v>81</v>
      </c>
      <c r="B14" s="3"/>
      <c r="C14" s="3"/>
      <c r="D14" s="3"/>
      <c r="E14" s="3"/>
      <c r="F14" s="3"/>
    </row>
    <row r="15" spans="1:6" x14ac:dyDescent="0.2">
      <c r="A15" t="s">
        <v>82</v>
      </c>
      <c r="B15" s="3">
        <v>-9737</v>
      </c>
      <c r="C15" s="3">
        <v>-56306</v>
      </c>
      <c r="D15" s="3">
        <v>-9978</v>
      </c>
      <c r="E15" s="3">
        <v>-10041</v>
      </c>
      <c r="F15" s="3">
        <v>-167023</v>
      </c>
    </row>
    <row r="16" spans="1:6" x14ac:dyDescent="0.2">
      <c r="A16" t="s">
        <v>83</v>
      </c>
      <c r="B16" s="3">
        <v>-1136</v>
      </c>
      <c r="C16" s="3">
        <v>18195</v>
      </c>
      <c r="D16" s="3">
        <v>-11302</v>
      </c>
      <c r="E16" s="3">
        <v>-5285</v>
      </c>
      <c r="F16" s="3">
        <v>-23330</v>
      </c>
    </row>
    <row r="17" spans="1:6" x14ac:dyDescent="0.2">
      <c r="A17" t="s">
        <v>84</v>
      </c>
      <c r="B17" s="3">
        <v>-45955</v>
      </c>
      <c r="C17" s="3">
        <v>-71409</v>
      </c>
      <c r="D17" s="3">
        <v>-16226</v>
      </c>
      <c r="E17" s="3">
        <v>27080</v>
      </c>
      <c r="F17" s="3">
        <v>-73883</v>
      </c>
    </row>
    <row r="18" spans="1:6" x14ac:dyDescent="0.2">
      <c r="A18" t="s">
        <v>85</v>
      </c>
      <c r="B18" s="3">
        <v>1886</v>
      </c>
      <c r="C18" s="3">
        <v>-9402</v>
      </c>
      <c r="D18" s="3">
        <v>-30043</v>
      </c>
      <c r="E18" s="3">
        <v>-90626</v>
      </c>
      <c r="F18" s="3">
        <v>-111816</v>
      </c>
    </row>
    <row r="19" spans="1:6" x14ac:dyDescent="0.2">
      <c r="A19" t="s">
        <v>86</v>
      </c>
      <c r="B19" s="3">
        <v>1374</v>
      </c>
      <c r="C19" s="3">
        <v>-2367</v>
      </c>
      <c r="D19" s="3">
        <v>-1048</v>
      </c>
      <c r="E19" s="3">
        <v>-3707</v>
      </c>
      <c r="F19" s="3">
        <v>-11673</v>
      </c>
    </row>
    <row r="20" spans="1:6" x14ac:dyDescent="0.2">
      <c r="A20" t="s">
        <v>87</v>
      </c>
      <c r="B20" s="3">
        <v>10899</v>
      </c>
      <c r="C20" s="3">
        <v>11574</v>
      </c>
      <c r="D20" s="3">
        <v>-18316</v>
      </c>
      <c r="E20" s="3">
        <v>16959</v>
      </c>
      <c r="F20" s="3">
        <v>52904</v>
      </c>
    </row>
    <row r="21" spans="1:6" x14ac:dyDescent="0.2">
      <c r="A21" t="s">
        <v>88</v>
      </c>
      <c r="B21" s="3">
        <v>-229</v>
      </c>
      <c r="C21" s="3">
        <v>13882</v>
      </c>
      <c r="D21" s="3">
        <v>-7667</v>
      </c>
      <c r="E21" s="3">
        <v>1156</v>
      </c>
      <c r="F21" s="3">
        <v>65757</v>
      </c>
    </row>
    <row r="22" spans="1:6" x14ac:dyDescent="0.2">
      <c r="A22" t="s">
        <v>89</v>
      </c>
      <c r="B22" s="3">
        <v>447</v>
      </c>
      <c r="C22" s="3">
        <v>1314</v>
      </c>
      <c r="D22" s="3">
        <v>2600</v>
      </c>
      <c r="E22" s="3">
        <v>1835</v>
      </c>
      <c r="F22" s="3">
        <v>831</v>
      </c>
    </row>
    <row r="23" spans="1:6" x14ac:dyDescent="0.2">
      <c r="A23" s="5" t="s">
        <v>90</v>
      </c>
      <c r="B23" s="4">
        <v>-1690</v>
      </c>
      <c r="C23" s="4">
        <v>16945</v>
      </c>
      <c r="D23" s="4">
        <v>15086</v>
      </c>
      <c r="E23" s="4">
        <v>13259</v>
      </c>
      <c r="F23" s="4">
        <v>31873</v>
      </c>
    </row>
    <row r="24" spans="1:6" x14ac:dyDescent="0.2">
      <c r="A24" t="s">
        <v>91</v>
      </c>
      <c r="B24" s="15">
        <f>SUM(B4:B23)</f>
        <v>61183</v>
      </c>
      <c r="C24" s="15">
        <f>SUM(C4:C23)</f>
        <v>61318</v>
      </c>
      <c r="D24" s="15">
        <f>SUM(D4:D23)</f>
        <v>158895</v>
      </c>
      <c r="E24" s="15">
        <f>SUM(E4:E23)</f>
        <v>192532</v>
      </c>
      <c r="F24" s="15">
        <f>SUM(F4:F23)</f>
        <v>534</v>
      </c>
    </row>
    <row r="26" spans="1:6" x14ac:dyDescent="0.2">
      <c r="A26" t="s">
        <v>92</v>
      </c>
    </row>
    <row r="27" spans="1:6" x14ac:dyDescent="0.2">
      <c r="A27" t="s">
        <v>94</v>
      </c>
      <c r="B27" s="3">
        <v>-55362</v>
      </c>
      <c r="C27" s="3">
        <v>-54024</v>
      </c>
      <c r="D27" s="3">
        <v>-104294</v>
      </c>
      <c r="E27" s="3">
        <v>-195660</v>
      </c>
      <c r="F27" s="3">
        <v>-190563</v>
      </c>
    </row>
    <row r="28" spans="1:6" x14ac:dyDescent="0.2">
      <c r="A28" t="s">
        <v>113</v>
      </c>
      <c r="B28" s="3">
        <v>0</v>
      </c>
      <c r="C28" s="3">
        <v>-22000</v>
      </c>
      <c r="D28" s="3">
        <v>0</v>
      </c>
      <c r="E28" s="3">
        <v>0</v>
      </c>
      <c r="F28" s="3">
        <v>0</v>
      </c>
    </row>
    <row r="29" spans="1:6" x14ac:dyDescent="0.2">
      <c r="A29" t="s">
        <v>114</v>
      </c>
      <c r="B29" s="3">
        <v>-103430</v>
      </c>
      <c r="C29" s="3">
        <v>-249</v>
      </c>
      <c r="D29" s="3">
        <v>0</v>
      </c>
      <c r="E29" s="3">
        <v>0</v>
      </c>
      <c r="F29" s="3">
        <v>0</v>
      </c>
    </row>
    <row r="30" spans="1:6" x14ac:dyDescent="0.2">
      <c r="A30" t="s">
        <v>95</v>
      </c>
      <c r="B30" s="3">
        <v>0</v>
      </c>
      <c r="D30" s="3">
        <v>0</v>
      </c>
      <c r="E30" s="3">
        <v>0</v>
      </c>
      <c r="F30" s="3">
        <v>12000</v>
      </c>
    </row>
    <row r="31" spans="1:6" x14ac:dyDescent="0.2">
      <c r="A31" t="s">
        <v>96</v>
      </c>
      <c r="B31" s="3">
        <v>19</v>
      </c>
      <c r="C31" s="3">
        <v>12</v>
      </c>
      <c r="D31" s="3">
        <v>129</v>
      </c>
      <c r="E31" s="3">
        <v>25</v>
      </c>
      <c r="F31" s="3">
        <v>40</v>
      </c>
    </row>
    <row r="32" spans="1:6" x14ac:dyDescent="0.2">
      <c r="A32" t="s">
        <v>97</v>
      </c>
      <c r="B32" s="3">
        <v>0</v>
      </c>
      <c r="C32" s="3">
        <v>0</v>
      </c>
      <c r="D32" s="3">
        <v>-5197</v>
      </c>
      <c r="E32" s="3">
        <v>-17491</v>
      </c>
      <c r="F32" s="3">
        <v>-14329</v>
      </c>
    </row>
    <row r="33" spans="1:6" x14ac:dyDescent="0.2">
      <c r="A33" t="s">
        <v>98</v>
      </c>
      <c r="B33" s="3">
        <v>54</v>
      </c>
      <c r="C33" s="3">
        <v>48</v>
      </c>
      <c r="D33" s="3">
        <v>51</v>
      </c>
      <c r="E33" s="3">
        <v>51</v>
      </c>
      <c r="F33" s="3">
        <v>435</v>
      </c>
    </row>
    <row r="34" spans="1:6" ht="17" thickBot="1" x14ac:dyDescent="0.25">
      <c r="A34" t="s">
        <v>99</v>
      </c>
      <c r="B34" s="16">
        <f>SUM(B27:B33)</f>
        <v>-158719</v>
      </c>
      <c r="C34" s="16">
        <f>SUM(C27:C33)</f>
        <v>-76213</v>
      </c>
      <c r="D34" s="16">
        <v>-109311</v>
      </c>
      <c r="E34" s="16">
        <v>-213075</v>
      </c>
      <c r="F34" s="16">
        <v>-192417</v>
      </c>
    </row>
    <row r="35" spans="1:6" ht="17" thickTop="1" x14ac:dyDescent="0.2">
      <c r="A35" t="s">
        <v>100</v>
      </c>
      <c r="B35" s="3"/>
      <c r="C35" s="3"/>
      <c r="D35" s="3"/>
      <c r="E35" s="3"/>
      <c r="F35" s="3"/>
    </row>
    <row r="36" spans="1:6" x14ac:dyDescent="0.2">
      <c r="A36" t="s">
        <v>101</v>
      </c>
      <c r="B36" s="3">
        <v>40000</v>
      </c>
      <c r="C36" s="3">
        <v>225758</v>
      </c>
      <c r="D36" s="3">
        <v>597111</v>
      </c>
      <c r="E36" s="3">
        <v>717897</v>
      </c>
      <c r="F36" s="3">
        <v>915391</v>
      </c>
    </row>
    <row r="37" spans="1:6" x14ac:dyDescent="0.2">
      <c r="A37" t="s">
        <v>102</v>
      </c>
      <c r="B37" s="3">
        <v>0</v>
      </c>
      <c r="C37" s="3">
        <v>-194754</v>
      </c>
      <c r="D37" s="3">
        <v>-629787</v>
      </c>
      <c r="E37" s="3">
        <v>-601091</v>
      </c>
      <c r="F37" s="3">
        <v>-672204</v>
      </c>
    </row>
    <row r="38" spans="1:6" x14ac:dyDescent="0.2">
      <c r="A38" t="s">
        <v>103</v>
      </c>
      <c r="B38" s="3">
        <v>0</v>
      </c>
      <c r="C38" s="3">
        <v>0</v>
      </c>
      <c r="D38" s="3">
        <v>6061</v>
      </c>
      <c r="E38" s="3">
        <v>4186</v>
      </c>
      <c r="F38" s="3">
        <v>0</v>
      </c>
    </row>
    <row r="39" spans="1:6" x14ac:dyDescent="0.2">
      <c r="A39" t="s">
        <v>104</v>
      </c>
      <c r="B39" s="3">
        <v>0</v>
      </c>
      <c r="C39" s="3">
        <v>0</v>
      </c>
      <c r="D39" s="3">
        <v>-398</v>
      </c>
      <c r="E39" s="3">
        <v>-664</v>
      </c>
      <c r="F39" s="3">
        <v>-1395</v>
      </c>
    </row>
    <row r="40" spans="1:6" x14ac:dyDescent="0.2">
      <c r="A40" t="s">
        <v>105</v>
      </c>
      <c r="B40" s="3">
        <v>21148</v>
      </c>
      <c r="C40" s="3">
        <v>23140</v>
      </c>
      <c r="D40" s="3">
        <v>33259</v>
      </c>
      <c r="E40" s="3">
        <v>31861</v>
      </c>
      <c r="F40" s="3">
        <v>17144</v>
      </c>
    </row>
    <row r="41" spans="1:6" x14ac:dyDescent="0.2">
      <c r="A41" t="s">
        <v>106</v>
      </c>
      <c r="B41" s="3">
        <v>-20876</v>
      </c>
      <c r="C41" s="3">
        <v>-12737</v>
      </c>
      <c r="D41" s="3">
        <v>-25009</v>
      </c>
      <c r="E41" s="3">
        <v>-100034</v>
      </c>
      <c r="F41" s="3">
        <v>-29995</v>
      </c>
    </row>
    <row r="42" spans="1:6" x14ac:dyDescent="0.2">
      <c r="A42" t="s">
        <v>107</v>
      </c>
      <c r="B42" s="3">
        <v>-1590</v>
      </c>
      <c r="C42" s="3">
        <v>-1018</v>
      </c>
      <c r="D42" s="3">
        <v>-1302</v>
      </c>
      <c r="E42" s="3">
        <v>-8037</v>
      </c>
      <c r="F42" s="3">
        <v>-9730</v>
      </c>
    </row>
    <row r="43" spans="1:6" x14ac:dyDescent="0.2">
      <c r="A43" t="s">
        <v>108</v>
      </c>
      <c r="B43" s="4">
        <v>-19947</v>
      </c>
      <c r="C43" s="4">
        <v>-22917</v>
      </c>
      <c r="D43" s="4">
        <v>-26445</v>
      </c>
      <c r="E43" s="4">
        <v>-26084</v>
      </c>
      <c r="F43" s="4">
        <v>-32603</v>
      </c>
    </row>
    <row r="44" spans="1:6" x14ac:dyDescent="0.2">
      <c r="A44" t="s">
        <v>109</v>
      </c>
      <c r="B44" s="3">
        <f>SUM(B36:B43)</f>
        <v>18735</v>
      </c>
      <c r="C44" s="3">
        <f>SUM(C36:C43)</f>
        <v>17472</v>
      </c>
      <c r="D44" s="3">
        <v>-46510</v>
      </c>
      <c r="E44" s="3">
        <v>18034</v>
      </c>
      <c r="F44" s="3">
        <v>186608</v>
      </c>
    </row>
    <row r="45" spans="1:6" x14ac:dyDescent="0.2">
      <c r="A45" t="s">
        <v>110</v>
      </c>
      <c r="B45" s="3">
        <v>-78801</v>
      </c>
      <c r="C45" s="3">
        <v>2462</v>
      </c>
      <c r="D45" s="3">
        <v>3074</v>
      </c>
      <c r="E45" s="3">
        <v>-2509</v>
      </c>
      <c r="F45" s="3">
        <v>-5275</v>
      </c>
    </row>
    <row r="46" spans="1:6" x14ac:dyDescent="0.2">
      <c r="A46" t="s">
        <v>111</v>
      </c>
      <c r="B46" s="3">
        <v>82288</v>
      </c>
      <c r="C46" s="3">
        <v>3487</v>
      </c>
      <c r="D46" s="3">
        <v>5949</v>
      </c>
      <c r="E46" s="3">
        <v>9023</v>
      </c>
      <c r="F46" s="3">
        <v>6514</v>
      </c>
    </row>
    <row r="47" spans="1:6" x14ac:dyDescent="0.2">
      <c r="A47" t="s">
        <v>112</v>
      </c>
      <c r="B47" s="3">
        <v>3487</v>
      </c>
      <c r="C47" s="3">
        <v>5949</v>
      </c>
      <c r="D47" s="3">
        <v>9023</v>
      </c>
      <c r="E47" s="3">
        <v>6514</v>
      </c>
      <c r="F47" s="3">
        <v>1239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1445-01F7-4245-816E-E90CC390ED84}">
  <dimension ref="A1:G17"/>
  <sheetViews>
    <sheetView zoomScale="136" workbookViewId="0">
      <selection activeCell="F15" sqref="F15"/>
    </sheetView>
  </sheetViews>
  <sheetFormatPr baseColWidth="10" defaultRowHeight="16" x14ac:dyDescent="0.2"/>
  <cols>
    <col min="1" max="1" width="22.33203125" bestFit="1" customWidth="1"/>
    <col min="3" max="3" width="9.83203125" customWidth="1"/>
    <col min="4" max="4" width="9.33203125" customWidth="1"/>
  </cols>
  <sheetData>
    <row r="1" spans="1:7" x14ac:dyDescent="0.2">
      <c r="A1" t="s">
        <v>115</v>
      </c>
    </row>
    <row r="3" spans="1:7" x14ac:dyDescent="0.2">
      <c r="A3" t="s">
        <v>116</v>
      </c>
      <c r="B3">
        <v>2022</v>
      </c>
      <c r="C3">
        <v>2023</v>
      </c>
      <c r="D3">
        <v>2024</v>
      </c>
      <c r="E3">
        <v>2025</v>
      </c>
      <c r="F3" t="s">
        <v>134</v>
      </c>
      <c r="G3" t="s">
        <v>117</v>
      </c>
    </row>
    <row r="4" spans="1:7" x14ac:dyDescent="0.2">
      <c r="A4" t="s">
        <v>118</v>
      </c>
      <c r="B4" s="17">
        <f>('Historical IS'!C3/'Historical IS'!B3)-1</f>
        <v>0.66278715176505143</v>
      </c>
      <c r="C4" s="17">
        <f>('Historical IS'!D3/'Historical IS'!C3)-1</f>
        <v>0.31473197207883086</v>
      </c>
      <c r="D4" s="17">
        <f>('Historical IS'!E3/'Historical IS'!D3)-1</f>
        <v>2.7485241990281795E-2</v>
      </c>
      <c r="E4" s="17">
        <f>('Historical IS'!F3/'Historical IS'!E3)-1</f>
        <v>0.20184402420385883</v>
      </c>
      <c r="F4" s="17">
        <f>AVERAGE(B4:E4)</f>
        <v>0.30171209750950573</v>
      </c>
      <c r="G4" t="s">
        <v>123</v>
      </c>
    </row>
    <row r="5" spans="1:7" x14ac:dyDescent="0.2">
      <c r="A5" t="s">
        <v>135</v>
      </c>
      <c r="B5" s="17">
        <f>'Historical IS'!C5/'Historical IS'!C3</f>
        <v>0.26729883841816043</v>
      </c>
      <c r="C5" s="17">
        <f>'Historical IS'!D5/'Historical IS'!D3</f>
        <v>0.34147527038522302</v>
      </c>
      <c r="D5" s="17">
        <f>'Historical IS'!E5/'Historical IS'!E3</f>
        <v>0.33074914524397508</v>
      </c>
      <c r="E5" s="17">
        <f>'Historical IS'!F5/'Historical IS'!F3</f>
        <v>0.26793515623267472</v>
      </c>
      <c r="F5" s="17">
        <f>AVERAGE(B5:E5)</f>
        <v>0.30186460257000836</v>
      </c>
      <c r="G5" t="s">
        <v>121</v>
      </c>
    </row>
    <row r="6" spans="1:7" x14ac:dyDescent="0.2">
      <c r="A6" t="s">
        <v>119</v>
      </c>
      <c r="B6" s="17">
        <f>'Historical IS'!C6/'Historical IS'!C3</f>
        <v>0.12469002731810061</v>
      </c>
      <c r="C6" s="17">
        <f>'Historical IS'!D6/'Historical IS'!D3</f>
        <v>0.14680047718563172</v>
      </c>
      <c r="D6" s="17">
        <f>'Historical IS'!E6/'Historical IS'!E3</f>
        <v>0.15659546823139422</v>
      </c>
      <c r="E6" s="17">
        <f>'Historical IS'!F6/'Historical IS'!F3</f>
        <v>0.16596256625196815</v>
      </c>
      <c r="F6" s="17">
        <f>AVERAGE(B6:E6)</f>
        <v>0.14851213474677369</v>
      </c>
      <c r="G6" t="s">
        <v>121</v>
      </c>
    </row>
    <row r="7" spans="1:7" x14ac:dyDescent="0.2">
      <c r="A7" t="s">
        <v>120</v>
      </c>
      <c r="B7" s="17">
        <f>'Historical IS'!C12/'Historical IS'!C11</f>
        <v>0.19398071193980712</v>
      </c>
      <c r="C7" s="17">
        <f>'Historical IS'!D12/'Historical IS'!D11</f>
        <v>0.20403398549880353</v>
      </c>
      <c r="D7" s="17">
        <f>'Historical IS'!E12/'Historical IS'!E11</f>
        <v>0.18409320831982032</v>
      </c>
      <c r="E7" s="17">
        <f>'Historical IS'!F12/'Historical IS'!F11</f>
        <v>0.16433919473095562</v>
      </c>
      <c r="F7" s="17">
        <f>AVERAGE(B7:E7)</f>
        <v>0.18661177512234664</v>
      </c>
      <c r="G7" t="s">
        <v>122</v>
      </c>
    </row>
    <row r="8" spans="1:7" x14ac:dyDescent="0.2">
      <c r="A8" t="s">
        <v>124</v>
      </c>
      <c r="B8" s="17">
        <f>ABS('Historical CF'!C27)/'Historical IS'!C3</f>
        <v>6.0783898972533383E-2</v>
      </c>
      <c r="C8" s="17">
        <f>ABS('Historical CF'!D27)/'Historical IS'!D3</f>
        <v>8.9253225025202859E-2</v>
      </c>
      <c r="D8" s="17">
        <f>ABS('Historical CF'!E27)/'Historical IS'!E3</f>
        <v>0.16296376500768345</v>
      </c>
      <c r="E8" s="17">
        <f>ABS('Historical CF'!F27)/'Historical IS'!F3</f>
        <v>0.13206248752578006</v>
      </c>
      <c r="F8" s="17">
        <f>AVERAGE(B8:E8)</f>
        <v>0.11126584413279994</v>
      </c>
      <c r="G8" t="s">
        <v>125</v>
      </c>
    </row>
    <row r="9" spans="1:7" x14ac:dyDescent="0.2">
      <c r="A9" t="s">
        <v>126</v>
      </c>
      <c r="B9" s="17">
        <f>'Historical CF'!C5/'Historical BS'!B12</f>
        <v>0.13603707636149454</v>
      </c>
      <c r="C9" s="17">
        <f>'Historical CF'!D5/'Historical BS'!C12</f>
        <v>0.15248158296280498</v>
      </c>
      <c r="D9" s="17">
        <f>'Historical CF'!E5/'Historical BS'!D12</f>
        <v>0.16957834500617655</v>
      </c>
      <c r="E9" s="17">
        <f>'Historical CF'!F5/'Historical BS'!E12</f>
        <v>0.15516815712953311</v>
      </c>
      <c r="F9" s="17">
        <f>AVERAGE(B9:E9)</f>
        <v>0.1533162903650023</v>
      </c>
      <c r="G9" t="s">
        <v>127</v>
      </c>
    </row>
    <row r="10" spans="1:7" x14ac:dyDescent="0.2">
      <c r="A10" t="s">
        <v>128</v>
      </c>
      <c r="B10" s="19">
        <f>('Historical BS'!C6/'Historical IS'!C3)*365</f>
        <v>52.220180740514053</v>
      </c>
      <c r="C10" s="19">
        <f>('Historical BS'!D6/'Historical IS'!D3)*365</f>
        <v>43.139617874949295</v>
      </c>
      <c r="D10" s="19">
        <f>('Historical BS'!E6/'Historical IS'!E3)*365</f>
        <v>44.8207906649398</v>
      </c>
      <c r="E10" s="19">
        <f>('Historical BS'!F6/'Historical IS'!F3)*365</f>
        <v>79.524021882553825</v>
      </c>
      <c r="F10" s="18">
        <f>AVERAGE(B10:E10)</f>
        <v>54.926152790739245</v>
      </c>
      <c r="G10" t="s">
        <v>129</v>
      </c>
    </row>
    <row r="11" spans="1:7" x14ac:dyDescent="0.2">
      <c r="A11" t="s">
        <v>130</v>
      </c>
      <c r="B11" s="19">
        <f>('Historical BS'!C8/'Historical IS'!C4)*365</f>
        <v>111.50330305152207</v>
      </c>
      <c r="C11" s="19">
        <f>('Historical BS'!D8/'Historical IS'!D4)*365</f>
        <v>101.28574733137708</v>
      </c>
      <c r="D11" s="19">
        <f>('Historical BS'!E8/'Historical IS'!E4)*365</f>
        <v>85.135141862242165</v>
      </c>
      <c r="E11" s="19">
        <f>('Historical BS'!F8/'Historical IS'!F4)*365</f>
        <v>90.235182022659117</v>
      </c>
      <c r="F11" s="18">
        <f t="shared" ref="F11:F12" si="0">AVERAGE(B11:E11)</f>
        <v>97.039843566950097</v>
      </c>
      <c r="G11" t="s">
        <v>131</v>
      </c>
    </row>
    <row r="12" spans="1:7" x14ac:dyDescent="0.2">
      <c r="A12" t="s">
        <v>132</v>
      </c>
      <c r="B12" s="19">
        <f>('Historical BS'!C23/'Historical IS'!C4)*365</f>
        <v>25.509577467384094</v>
      </c>
      <c r="C12" s="19">
        <f>('Historical BS'!D23/'Historical IS'!D4)*365</f>
        <v>13.036629075059324</v>
      </c>
      <c r="D12" s="19">
        <f>('Historical BS'!E23/'Historical IS'!E4)*365</f>
        <v>20.279897601322173</v>
      </c>
      <c r="E12" s="19">
        <f>('Historical BS'!F23/'Historical IS'!F4)*365</f>
        <v>38.159160014843536</v>
      </c>
      <c r="F12" s="18">
        <f t="shared" si="0"/>
        <v>24.246316039652282</v>
      </c>
      <c r="G12" t="s">
        <v>133</v>
      </c>
    </row>
    <row r="14" spans="1:7" x14ac:dyDescent="0.2">
      <c r="A14" s="20" t="s">
        <v>143</v>
      </c>
      <c r="F14" s="17">
        <v>0.1</v>
      </c>
    </row>
    <row r="15" spans="1:7" x14ac:dyDescent="0.2">
      <c r="A15" s="20" t="s">
        <v>146</v>
      </c>
      <c r="F15" s="17">
        <v>0.28000000000000003</v>
      </c>
    </row>
    <row r="16" spans="1:7" x14ac:dyDescent="0.2">
      <c r="A16" s="20" t="s">
        <v>144</v>
      </c>
      <c r="F16" s="17">
        <v>0.16</v>
      </c>
    </row>
    <row r="17" spans="1:6" x14ac:dyDescent="0.2">
      <c r="A17" s="20" t="s">
        <v>145</v>
      </c>
      <c r="F17" s="17">
        <v>0.19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C6C8-1800-A549-B86A-372B16A47D45}">
  <dimension ref="A1:H26"/>
  <sheetViews>
    <sheetView topLeftCell="A4" zoomScale="143" workbookViewId="0">
      <selection activeCell="B15" activeCellId="1" sqref="B2:E2 B15:E16"/>
    </sheetView>
  </sheetViews>
  <sheetFormatPr baseColWidth="10" defaultRowHeight="16" x14ac:dyDescent="0.2"/>
  <cols>
    <col min="1" max="1" width="35.83203125" bestFit="1" customWidth="1"/>
    <col min="2" max="5" width="14" bestFit="1" customWidth="1"/>
  </cols>
  <sheetData>
    <row r="1" spans="1:8" x14ac:dyDescent="0.2">
      <c r="A1" t="s">
        <v>136</v>
      </c>
    </row>
    <row r="2" spans="1:8" x14ac:dyDescent="0.2">
      <c r="B2" t="s">
        <v>137</v>
      </c>
      <c r="C2" t="s">
        <v>138</v>
      </c>
      <c r="D2" t="s">
        <v>139</v>
      </c>
      <c r="E2" t="s">
        <v>140</v>
      </c>
      <c r="G2" t="s">
        <v>142</v>
      </c>
    </row>
    <row r="3" spans="1:8" x14ac:dyDescent="0.2">
      <c r="A3" t="s">
        <v>15</v>
      </c>
      <c r="B3" s="3">
        <f>'Historical IS'!F3</f>
        <v>1442976</v>
      </c>
      <c r="C3" s="3">
        <f>B3*(1+Assumptions!F14)</f>
        <v>1587273.6</v>
      </c>
      <c r="D3" s="3">
        <f>C3*(1+Assumptions!F14)</f>
        <v>1746000.9600000002</v>
      </c>
      <c r="E3" s="3">
        <f>D3*(1+Assumptions!F14)</f>
        <v>1920601.0560000003</v>
      </c>
      <c r="G3" t="s">
        <v>141</v>
      </c>
    </row>
    <row r="4" spans="1:8" x14ac:dyDescent="0.2">
      <c r="A4" s="5" t="s">
        <v>16</v>
      </c>
      <c r="B4" s="3">
        <f>'Historical IS'!F4</f>
        <v>1056352</v>
      </c>
      <c r="C4" s="3">
        <f>C3-C5</f>
        <v>1142836.9920000001</v>
      </c>
      <c r="D4" s="3">
        <f t="shared" ref="D4:E4" si="0">D3-D5</f>
        <v>1257120.6912000002</v>
      </c>
      <c r="E4" s="3">
        <f t="shared" si="0"/>
        <v>1382832.7603200004</v>
      </c>
      <c r="H4" s="3"/>
    </row>
    <row r="5" spans="1:8" x14ac:dyDescent="0.2">
      <c r="A5" t="s">
        <v>17</v>
      </c>
      <c r="B5" s="3">
        <f>'Historical IS'!F5</f>
        <v>386624</v>
      </c>
      <c r="C5" s="3">
        <f>C3*Assumptions!$F$15</f>
        <v>444436.60800000007</v>
      </c>
      <c r="D5" s="3">
        <f>D3*Assumptions!$F$15</f>
        <v>488880.26880000008</v>
      </c>
      <c r="E5" s="3">
        <f>E3*Assumptions!$F$15</f>
        <v>537768.2956800001</v>
      </c>
      <c r="H5" s="3"/>
    </row>
    <row r="6" spans="1:8" x14ac:dyDescent="0.2">
      <c r="A6" t="s">
        <v>18</v>
      </c>
      <c r="B6" s="3">
        <f>'Historical IS'!F6</f>
        <v>239480</v>
      </c>
      <c r="C6" s="3">
        <f>C3*Assumptions!$F$16</f>
        <v>253963.77600000001</v>
      </c>
      <c r="D6" s="3">
        <f>D3*Assumptions!$F$16</f>
        <v>279360.15360000002</v>
      </c>
      <c r="E6" s="3">
        <f>E3*Assumptions!$F$16</f>
        <v>307296.16896000004</v>
      </c>
      <c r="H6" s="3"/>
    </row>
    <row r="7" spans="1:8" x14ac:dyDescent="0.2">
      <c r="A7" t="s">
        <v>25</v>
      </c>
      <c r="B7" s="3">
        <f>'Historical IS'!F7</f>
        <v>-4</v>
      </c>
      <c r="C7" s="3">
        <v>0</v>
      </c>
      <c r="D7" s="3">
        <v>0</v>
      </c>
      <c r="E7" s="3">
        <v>0</v>
      </c>
      <c r="H7" s="3"/>
    </row>
    <row r="8" spans="1:8" x14ac:dyDescent="0.2">
      <c r="A8" t="s">
        <v>19</v>
      </c>
      <c r="B8" s="3">
        <f>'Historical IS'!F8</f>
        <v>146248</v>
      </c>
      <c r="C8" s="3">
        <f>C5-C6+C7</f>
        <v>190472.83200000005</v>
      </c>
      <c r="D8" s="3">
        <f t="shared" ref="D8:E8" si="1">D5-D6+D7</f>
        <v>209520.11520000006</v>
      </c>
      <c r="E8" s="3">
        <f t="shared" si="1"/>
        <v>230472.12672000006</v>
      </c>
      <c r="H8" s="3"/>
    </row>
    <row r="9" spans="1:8" x14ac:dyDescent="0.2">
      <c r="A9" t="s">
        <v>20</v>
      </c>
      <c r="B9" s="3">
        <f>'Historical IS'!F9</f>
        <v>-17726</v>
      </c>
      <c r="C9" s="3">
        <f>B9</f>
        <v>-17726</v>
      </c>
      <c r="D9" s="3">
        <f t="shared" ref="D9:E9" si="2">C9</f>
        <v>-17726</v>
      </c>
      <c r="E9" s="3">
        <f t="shared" si="2"/>
        <v>-17726</v>
      </c>
      <c r="H9" s="3"/>
    </row>
    <row r="10" spans="1:8" x14ac:dyDescent="0.2">
      <c r="A10" t="s">
        <v>26</v>
      </c>
      <c r="B10" s="3">
        <f>'Historical IS'!F10</f>
        <v>230</v>
      </c>
      <c r="C10" s="3">
        <v>0</v>
      </c>
      <c r="D10" s="3">
        <v>0</v>
      </c>
      <c r="E10" s="3">
        <v>0</v>
      </c>
      <c r="H10" s="3"/>
    </row>
    <row r="11" spans="1:8" x14ac:dyDescent="0.2">
      <c r="A11" t="s">
        <v>21</v>
      </c>
      <c r="B11" s="3">
        <f>'Historical IS'!F11</f>
        <v>128752</v>
      </c>
      <c r="C11" s="3">
        <f>C8+C9+C10</f>
        <v>172746.83200000005</v>
      </c>
      <c r="D11" s="3">
        <f t="shared" ref="D11:E11" si="3">D8+D9+D10</f>
        <v>191794.11520000006</v>
      </c>
      <c r="E11" s="3">
        <f t="shared" si="3"/>
        <v>212746.12672000006</v>
      </c>
      <c r="H11" s="3"/>
    </row>
    <row r="12" spans="1:8" x14ac:dyDescent="0.2">
      <c r="A12" t="s">
        <v>27</v>
      </c>
      <c r="B12" s="3">
        <f>'Historical IS'!F12</f>
        <v>21159</v>
      </c>
      <c r="C12" s="3">
        <f>C11*Assumptions!$F$17</f>
        <v>32821.898080000014</v>
      </c>
      <c r="D12" s="3">
        <f>D11*Assumptions!$F$17</f>
        <v>36440.881888000011</v>
      </c>
      <c r="E12" s="3">
        <f>E11*Assumptions!$F$17</f>
        <v>40421.764076800013</v>
      </c>
      <c r="H12" s="3"/>
    </row>
    <row r="13" spans="1:8" x14ac:dyDescent="0.2">
      <c r="A13" t="s">
        <v>22</v>
      </c>
      <c r="B13" s="3">
        <f>'Historical IS'!F13</f>
        <v>107593</v>
      </c>
      <c r="C13" s="3">
        <f>C11-C12</f>
        <v>139924.93392000004</v>
      </c>
      <c r="D13" s="3">
        <f t="shared" ref="D13:E13" si="4">D11-D12</f>
        <v>155353.23331200005</v>
      </c>
      <c r="E13" s="3">
        <f t="shared" si="4"/>
        <v>172324.36264320003</v>
      </c>
      <c r="H13" s="3"/>
    </row>
    <row r="15" spans="1:8" x14ac:dyDescent="0.2">
      <c r="A15" t="s">
        <v>151</v>
      </c>
      <c r="B15" s="17">
        <f>B5/B3</f>
        <v>0.26793515623267472</v>
      </c>
      <c r="C15" s="17">
        <f>C5/C3</f>
        <v>0.28000000000000003</v>
      </c>
      <c r="D15" s="17">
        <f>D5/D3</f>
        <v>0.28000000000000003</v>
      </c>
      <c r="E15" s="17">
        <f>E5/E3</f>
        <v>0.28000000000000003</v>
      </c>
    </row>
    <row r="16" spans="1:8" x14ac:dyDescent="0.2">
      <c r="A16" t="s">
        <v>152</v>
      </c>
      <c r="B16" s="17">
        <f>B8/B3</f>
        <v>0.101351651032311</v>
      </c>
      <c r="C16" s="17">
        <f t="shared" ref="C16:E16" si="5">C8/C3</f>
        <v>0.12000000000000002</v>
      </c>
      <c r="D16" s="17">
        <f t="shared" si="5"/>
        <v>0.12000000000000002</v>
      </c>
      <c r="E16" s="17">
        <f t="shared" si="5"/>
        <v>0.12000000000000001</v>
      </c>
    </row>
    <row r="17" spans="3:3" x14ac:dyDescent="0.2">
      <c r="C17" s="3"/>
    </row>
    <row r="18" spans="3:3" x14ac:dyDescent="0.2">
      <c r="C18" s="7"/>
    </row>
    <row r="19" spans="3:3" x14ac:dyDescent="0.2">
      <c r="C19" s="7"/>
    </row>
    <row r="20" spans="3:3" x14ac:dyDescent="0.2">
      <c r="C20" s="7"/>
    </row>
    <row r="21" spans="3:3" x14ac:dyDescent="0.2">
      <c r="C21" s="7"/>
    </row>
    <row r="22" spans="3:3" x14ac:dyDescent="0.2">
      <c r="C22" s="7"/>
    </row>
    <row r="23" spans="3:3" x14ac:dyDescent="0.2">
      <c r="C23" s="7"/>
    </row>
    <row r="24" spans="3:3" x14ac:dyDescent="0.2">
      <c r="C24" s="7"/>
    </row>
    <row r="25" spans="3:3" x14ac:dyDescent="0.2">
      <c r="C25" s="7"/>
    </row>
    <row r="26" spans="3:3" x14ac:dyDescent="0.2">
      <c r="C26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8379-3657-DC43-80EB-F42F92CB9AFE}">
  <dimension ref="A1:H9"/>
  <sheetViews>
    <sheetView tabSelected="1" zoomScale="115" workbookViewId="0">
      <selection activeCell="E9" sqref="E9"/>
    </sheetView>
  </sheetViews>
  <sheetFormatPr baseColWidth="10" defaultRowHeight="16" x14ac:dyDescent="0.2"/>
  <cols>
    <col min="1" max="1" width="14" bestFit="1" customWidth="1"/>
    <col min="3" max="3" width="12.5" bestFit="1" customWidth="1"/>
  </cols>
  <sheetData>
    <row r="1" spans="1:8" ht="24" x14ac:dyDescent="0.3">
      <c r="A1" s="21" t="s">
        <v>147</v>
      </c>
      <c r="B1" s="21"/>
      <c r="C1" s="21"/>
      <c r="D1" s="21"/>
      <c r="E1" s="21"/>
      <c r="F1" s="21"/>
      <c r="G1" s="21"/>
      <c r="H1" s="21"/>
    </row>
    <row r="2" spans="1:8" x14ac:dyDescent="0.2">
      <c r="A2" t="s">
        <v>148</v>
      </c>
    </row>
    <row r="4" spans="1:8" ht="17" thickBot="1" x14ac:dyDescent="0.25"/>
    <row r="5" spans="1:8" ht="19" x14ac:dyDescent="0.25">
      <c r="A5" s="28" t="s">
        <v>149</v>
      </c>
      <c r="B5" s="29"/>
      <c r="C5" s="28" t="s">
        <v>22</v>
      </c>
      <c r="D5" s="29"/>
      <c r="E5" s="28" t="s">
        <v>135</v>
      </c>
      <c r="F5" s="29"/>
      <c r="G5" s="28" t="s">
        <v>150</v>
      </c>
      <c r="H5" s="29"/>
    </row>
    <row r="6" spans="1:8" ht="25" thickBot="1" x14ac:dyDescent="0.35">
      <c r="A6" s="22">
        <f>'Forecast IS'!E3</f>
        <v>1920601.0560000003</v>
      </c>
      <c r="B6" s="23"/>
      <c r="C6" s="24">
        <f>'Forecast IS'!E13</f>
        <v>172324.36264320003</v>
      </c>
      <c r="D6" s="25"/>
      <c r="E6" s="26">
        <f>'Forecast IS'!E5/'Forecast IS'!E3</f>
        <v>0.28000000000000003</v>
      </c>
      <c r="F6" s="27"/>
      <c r="G6" s="26">
        <f>'Forecast IS'!E8/'Forecast IS'!E3</f>
        <v>0.12000000000000001</v>
      </c>
      <c r="H6" s="27"/>
    </row>
    <row r="7" spans="1:8" ht="17" thickBot="1" x14ac:dyDescent="0.25"/>
    <row r="8" spans="1:8" ht="19" x14ac:dyDescent="0.25">
      <c r="A8" s="28" t="s">
        <v>118</v>
      </c>
      <c r="B8" s="29"/>
      <c r="C8" s="28" t="s">
        <v>122</v>
      </c>
      <c r="D8" s="29"/>
    </row>
    <row r="9" spans="1:8" ht="25" thickBot="1" x14ac:dyDescent="0.35">
      <c r="A9" s="26">
        <f>('Forecast IS'!E3/'Forecast IS'!D3)-1</f>
        <v>0.10000000000000009</v>
      </c>
      <c r="B9" s="27"/>
      <c r="C9" s="26">
        <f>'Forecast IS'!E12/'Forecast IS'!E11</f>
        <v>0.19</v>
      </c>
      <c r="D9" s="27"/>
    </row>
  </sheetData>
  <mergeCells count="13">
    <mergeCell ref="G6:H6"/>
    <mergeCell ref="A8:B8"/>
    <mergeCell ref="A9:B9"/>
    <mergeCell ref="C8:D8"/>
    <mergeCell ref="C9:D9"/>
    <mergeCell ref="A1:H1"/>
    <mergeCell ref="A5:B5"/>
    <mergeCell ref="A6:B6"/>
    <mergeCell ref="C5:D5"/>
    <mergeCell ref="C6:D6"/>
    <mergeCell ref="E5:F5"/>
    <mergeCell ref="E6:F6"/>
    <mergeCell ref="G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Sources</vt:lpstr>
      <vt:lpstr>Historical IS</vt:lpstr>
      <vt:lpstr>Historical BS</vt:lpstr>
      <vt:lpstr>Historical CF</vt:lpstr>
      <vt:lpstr>Assumptions</vt:lpstr>
      <vt:lpstr>Forecast IS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George</dc:creator>
  <cp:lastModifiedBy>Wallace, George</cp:lastModifiedBy>
  <dcterms:created xsi:type="dcterms:W3CDTF">2026-06-26T00:06:52Z</dcterms:created>
  <dcterms:modified xsi:type="dcterms:W3CDTF">2026-06-26T04:03:35Z</dcterms:modified>
</cp:coreProperties>
</file>