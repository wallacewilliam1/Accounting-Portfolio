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iamwallace/Documents/UofLynchburg/Spring 2026/BUAD 441W/"/>
    </mc:Choice>
  </mc:AlternateContent>
  <xr:revisionPtr revIDLastSave="0" documentId="13_ncr:1_{1E0D9CF8-0700-1A4F-8B2D-E9E3B3F61709}" xr6:coauthVersionLast="47" xr6:coauthVersionMax="47" xr10:uidLastSave="{00000000-0000-0000-0000-000000000000}"/>
  <bookViews>
    <workbookView xWindow="20560" yWindow="780" windowWidth="20560" windowHeight="25800" xr2:uid="{D5341405-41CD-4D2A-B849-D5BAF93199EC}"/>
  </bookViews>
  <sheets>
    <sheet name="Financial Ratios" sheetId="5" r:id="rId1"/>
    <sheet name="Income Statements" sheetId="6" r:id="rId2"/>
    <sheet name="Balance Sheets" sheetId="2" r:id="rId3"/>
    <sheet name="Base Case Projections" sheetId="3" r:id="rId4"/>
    <sheet name="Improved Case Projections" sheetId="4" r:id="rId5"/>
    <sheet name="ROE" sheetId="7" r:id="rId6"/>
    <sheet name="NPM" sheetId="8" r:id="rId7"/>
    <sheet name="GPM" sheetId="9" r:id="rId8"/>
    <sheet name="PM" sheetId="10" r:id="rId9"/>
    <sheet name="Turnover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5" l="1"/>
  <c r="I22" i="5"/>
  <c r="D22" i="5"/>
  <c r="E22" i="5"/>
  <c r="F22" i="5"/>
  <c r="G22" i="5"/>
  <c r="H22" i="5"/>
  <c r="C22" i="5"/>
  <c r="J31" i="5"/>
  <c r="J30" i="5"/>
  <c r="J27" i="5"/>
  <c r="J26" i="5"/>
  <c r="J23" i="5"/>
  <c r="J21" i="5"/>
  <c r="J18" i="5"/>
  <c r="J17" i="5"/>
  <c r="J16" i="5"/>
  <c r="J15" i="5"/>
  <c r="J12" i="5"/>
  <c r="J11" i="5"/>
  <c r="J10" i="5"/>
  <c r="J9" i="5"/>
  <c r="J8" i="5"/>
  <c r="I31" i="5"/>
  <c r="I30" i="5"/>
  <c r="I27" i="5"/>
  <c r="I26" i="5"/>
  <c r="I23" i="5"/>
  <c r="I21" i="5"/>
  <c r="I18" i="5"/>
  <c r="I17" i="5"/>
  <c r="I16" i="5"/>
  <c r="I15" i="5"/>
  <c r="I12" i="5"/>
  <c r="I11" i="5"/>
  <c r="I10" i="5"/>
  <c r="I9" i="5"/>
  <c r="I8" i="5"/>
  <c r="H31" i="5"/>
  <c r="C31" i="5"/>
  <c r="D31" i="5"/>
  <c r="E31" i="5"/>
  <c r="F31" i="5"/>
  <c r="G31" i="5"/>
  <c r="B31" i="5"/>
  <c r="C30" i="5"/>
  <c r="D30" i="5"/>
  <c r="E30" i="5"/>
  <c r="F30" i="5"/>
  <c r="G30" i="5"/>
  <c r="H30" i="5"/>
  <c r="B30" i="5"/>
  <c r="C27" i="5"/>
  <c r="D27" i="5"/>
  <c r="E27" i="5"/>
  <c r="F27" i="5"/>
  <c r="G27" i="5"/>
  <c r="H27" i="5"/>
  <c r="B27" i="5"/>
  <c r="C26" i="5"/>
  <c r="D26" i="5"/>
  <c r="E26" i="5"/>
  <c r="F26" i="5"/>
  <c r="G26" i="5"/>
  <c r="H26" i="5"/>
  <c r="B26" i="5"/>
  <c r="H23" i="5"/>
  <c r="D23" i="5"/>
  <c r="E23" i="5"/>
  <c r="F23" i="5"/>
  <c r="G23" i="5"/>
  <c r="C23" i="5"/>
  <c r="D21" i="5" l="1"/>
  <c r="E21" i="5"/>
  <c r="F21" i="5"/>
  <c r="G21" i="5"/>
  <c r="H21" i="5"/>
  <c r="C21" i="5"/>
  <c r="C16" i="5"/>
  <c r="D16" i="5"/>
  <c r="E16" i="5"/>
  <c r="F16" i="5"/>
  <c r="G16" i="5"/>
  <c r="H16" i="5"/>
  <c r="C17" i="5"/>
  <c r="D17" i="5"/>
  <c r="E17" i="5"/>
  <c r="F17" i="5"/>
  <c r="G17" i="5"/>
  <c r="H17" i="5"/>
  <c r="C18" i="5"/>
  <c r="D18" i="5"/>
  <c r="E18" i="5"/>
  <c r="F18" i="5"/>
  <c r="G18" i="5"/>
  <c r="H18" i="5"/>
  <c r="B18" i="5"/>
  <c r="B17" i="5"/>
  <c r="B16" i="5"/>
  <c r="C15" i="5"/>
  <c r="D15" i="5"/>
  <c r="E15" i="5"/>
  <c r="F15" i="5"/>
  <c r="G15" i="5"/>
  <c r="H15" i="5"/>
  <c r="B15" i="5"/>
  <c r="C8" i="5"/>
  <c r="D8" i="5"/>
  <c r="E8" i="5"/>
  <c r="E11" i="5" s="1"/>
  <c r="F8" i="5"/>
  <c r="F11" i="5" s="1"/>
  <c r="G8" i="5"/>
  <c r="G11" i="5" s="1"/>
  <c r="H8" i="5"/>
  <c r="H12" i="5" s="1"/>
  <c r="C9" i="5"/>
  <c r="D9" i="5"/>
  <c r="E9" i="5"/>
  <c r="F9" i="5"/>
  <c r="G9" i="5"/>
  <c r="H9" i="5"/>
  <c r="C10" i="5"/>
  <c r="D10" i="5"/>
  <c r="D12" i="5" s="1"/>
  <c r="E10" i="5"/>
  <c r="F10" i="5"/>
  <c r="G10" i="5"/>
  <c r="H10" i="5"/>
  <c r="C11" i="5"/>
  <c r="D11" i="5"/>
  <c r="H11" i="5"/>
  <c r="C12" i="5"/>
  <c r="B12" i="5"/>
  <c r="B11" i="5"/>
  <c r="B10" i="5"/>
  <c r="B9" i="5"/>
  <c r="B8" i="5"/>
  <c r="H33" i="2"/>
  <c r="G33" i="2"/>
  <c r="F33" i="2"/>
  <c r="E33" i="2"/>
  <c r="D33" i="2"/>
  <c r="C33" i="2"/>
  <c r="B33" i="2"/>
  <c r="H20" i="2"/>
  <c r="G20" i="2"/>
  <c r="F20" i="2"/>
  <c r="E20" i="2"/>
  <c r="D20" i="2"/>
  <c r="C20" i="2"/>
  <c r="G18" i="2"/>
  <c r="H17" i="2"/>
  <c r="H18" i="2" s="1"/>
  <c r="G17" i="2"/>
  <c r="F17" i="2"/>
  <c r="D17" i="2"/>
  <c r="D18" i="2" s="1"/>
  <c r="C17" i="2"/>
  <c r="C18" i="2" s="1"/>
  <c r="B17" i="2"/>
  <c r="E10" i="2"/>
  <c r="E17" i="2" s="1"/>
  <c r="H8" i="2"/>
  <c r="G8" i="2"/>
  <c r="F8" i="2"/>
  <c r="E8" i="2"/>
  <c r="D8" i="2"/>
  <c r="C8" i="2"/>
  <c r="H6" i="2"/>
  <c r="G6" i="2"/>
  <c r="F6" i="2"/>
  <c r="E6" i="2"/>
  <c r="D6" i="2"/>
  <c r="C6" i="2"/>
  <c r="B22" i="3"/>
  <c r="B20" i="3"/>
  <c r="A17" i="3"/>
  <c r="B16" i="3"/>
  <c r="B15" i="3"/>
  <c r="B11" i="3"/>
  <c r="B13" i="3"/>
  <c r="B12" i="3"/>
  <c r="B8" i="3"/>
  <c r="B6" i="3"/>
  <c r="B5" i="3"/>
  <c r="G12" i="5" l="1"/>
  <c r="F12" i="5"/>
  <c r="E12" i="5"/>
  <c r="E18" i="2"/>
  <c r="F18" i="2"/>
  <c r="B18" i="3"/>
  <c r="C20" i="3" l="1"/>
  <c r="E20" i="3" s="1"/>
  <c r="F20" i="3" s="1"/>
  <c r="C18" i="3"/>
  <c r="E18" i="3" s="1"/>
  <c r="F18" i="3" s="1"/>
  <c r="G18" i="3" s="1"/>
  <c r="H18" i="3" s="1"/>
  <c r="I18" i="3" s="1"/>
  <c r="E6" i="3"/>
  <c r="F6" i="3" s="1"/>
  <c r="G6" i="3" s="1"/>
  <c r="H6" i="3" s="1"/>
  <c r="I6" i="3" s="1"/>
  <c r="C8" i="3"/>
  <c r="C5" i="3"/>
  <c r="E5" i="3"/>
  <c r="C12" i="3"/>
  <c r="E12" i="3"/>
  <c r="F12" i="3" s="1"/>
  <c r="G12" i="3" s="1"/>
  <c r="H12" i="3" s="1"/>
  <c r="I12" i="3" s="1"/>
  <c r="E8" i="3"/>
  <c r="F8" i="3" s="1"/>
  <c r="C6" i="3"/>
  <c r="C15" i="3"/>
  <c r="E19" i="3" l="1"/>
  <c r="G20" i="3"/>
  <c r="E21" i="3"/>
  <c r="F5" i="3"/>
  <c r="E9" i="3"/>
  <c r="E7" i="3"/>
  <c r="E11" i="3" s="1"/>
  <c r="F7" i="3"/>
  <c r="C11" i="3"/>
  <c r="C16" i="3"/>
  <c r="E14" i="3" s="1"/>
  <c r="C13" i="3"/>
  <c r="G8" i="3"/>
  <c r="F9" i="3" l="1"/>
  <c r="F11" i="3" s="1"/>
  <c r="F13" i="3" s="1"/>
  <c r="F19" i="3"/>
  <c r="H20" i="3"/>
  <c r="F21" i="3"/>
  <c r="E13" i="3"/>
  <c r="F14" i="3"/>
  <c r="G7" i="3"/>
  <c r="G5" i="3"/>
  <c r="H8" i="3"/>
  <c r="G19" i="3" l="1"/>
  <c r="G9" i="3"/>
  <c r="G11" i="3" s="1"/>
  <c r="E15" i="3"/>
  <c r="E16" i="3" s="1"/>
  <c r="E22" i="3" s="1"/>
  <c r="G21" i="3"/>
  <c r="I20" i="3"/>
  <c r="G14" i="3"/>
  <c r="F15" i="3"/>
  <c r="F16" i="3" s="1"/>
  <c r="H7" i="3"/>
  <c r="H5" i="3"/>
  <c r="I8" i="3"/>
  <c r="H21" i="3" l="1"/>
  <c r="G13" i="3"/>
  <c r="G15" i="3" s="1"/>
  <c r="G16" i="3" s="1"/>
  <c r="F22" i="3"/>
  <c r="F24" i="3" s="1"/>
  <c r="E24" i="3"/>
  <c r="H9" i="3"/>
  <c r="H11" i="3" s="1"/>
  <c r="H19" i="3"/>
  <c r="H14" i="3"/>
  <c r="I5" i="3"/>
  <c r="I7" i="3"/>
  <c r="H13" i="3" l="1"/>
  <c r="H15" i="3" s="1"/>
  <c r="H16" i="3" s="1"/>
  <c r="G22" i="3"/>
  <c r="G24" i="3" s="1"/>
  <c r="I9" i="3"/>
  <c r="I11" i="3" s="1"/>
  <c r="I19" i="3"/>
  <c r="I21" i="3"/>
  <c r="I14" i="3"/>
  <c r="H22" i="3" l="1"/>
  <c r="H24" i="3" s="1"/>
  <c r="I13" i="3"/>
  <c r="I15" i="3" s="1"/>
  <c r="I16" i="3" s="1"/>
  <c r="I22" i="3" l="1"/>
  <c r="I24" i="3" s="1"/>
</calcChain>
</file>

<file path=xl/sharedStrings.xml><?xml version="1.0" encoding="utf-8"?>
<sst xmlns="http://schemas.openxmlformats.org/spreadsheetml/2006/main" count="143" uniqueCount="133">
  <si>
    <t>12 Months Ended</t>
  </si>
  <si>
    <t>Provision for income taxes</t>
  </si>
  <si>
    <t> </t>
  </si>
  <si>
    <t>Your Name:</t>
  </si>
  <si>
    <t>DuPont Ratios</t>
  </si>
  <si>
    <t>Net Profit Margin (NIAT/Net Revenues)</t>
  </si>
  <si>
    <t>Total Asset Turnover (Net Revenue/ Total Assets)</t>
  </si>
  <si>
    <t>Leverage (Total Assets/Total Equity)</t>
  </si>
  <si>
    <t>Return on Total Assets</t>
  </si>
  <si>
    <t>Return on Equity</t>
  </si>
  <si>
    <t>Profitability</t>
  </si>
  <si>
    <t>Gross Profit Margin</t>
  </si>
  <si>
    <t>EBIT Margin</t>
  </si>
  <si>
    <t>EBT Margin</t>
  </si>
  <si>
    <t>NIAT Margin</t>
  </si>
  <si>
    <t>Efficiency</t>
  </si>
  <si>
    <t>Accounts Receivable Turnover</t>
  </si>
  <si>
    <t>Inventory Turnover</t>
  </si>
  <si>
    <t>Long Term Assets Turnover</t>
  </si>
  <si>
    <t>Capital Structure (Solvency)</t>
  </si>
  <si>
    <t>Total Debt to Total Assets</t>
  </si>
  <si>
    <t>Long Term Debt to Equity</t>
  </si>
  <si>
    <t>Liquidity</t>
  </si>
  <si>
    <t>Current Ratio</t>
  </si>
  <si>
    <t>Acid Test Ratio</t>
  </si>
  <si>
    <t>Actuals</t>
  </si>
  <si>
    <t>Projections for</t>
  </si>
  <si>
    <t>Assumptions</t>
  </si>
  <si>
    <t>% of Revenue</t>
  </si>
  <si>
    <t>Net revenues</t>
  </si>
  <si>
    <t>Projected Revenue</t>
  </si>
  <si>
    <t>Cost of goods sold (CGS)</t>
  </si>
  <si>
    <t>Product CGS Percent of Revenue</t>
  </si>
  <si>
    <t>Projected Cost of Goods Sold</t>
  </si>
  <si>
    <t>Selling, general and administrative expenses</t>
  </si>
  <si>
    <t>S.G. &amp; A/Revenue</t>
  </si>
  <si>
    <t>Income (Loss) from operations (EBIT)</t>
  </si>
  <si>
    <t>Projected EBIT</t>
  </si>
  <si>
    <t>Interest expense, net</t>
  </si>
  <si>
    <t>Projected EBT</t>
  </si>
  <si>
    <t>Income Tax Rate</t>
  </si>
  <si>
    <t>Projected Net Income After Taxes</t>
  </si>
  <si>
    <t>Total assets</t>
  </si>
  <si>
    <t>Projected Total Assets</t>
  </si>
  <si>
    <t>Calculated Values</t>
  </si>
  <si>
    <t>Earnings before income taxes (EBT)</t>
  </si>
  <si>
    <t>Expected Revenue Growth Rate</t>
  </si>
  <si>
    <t>Projected S.G.&amp;A.</t>
  </si>
  <si>
    <t>Frozen at 2023 Levels</t>
  </si>
  <si>
    <t>Projected Income Taxes</t>
  </si>
  <si>
    <t>Projected Total Assets/Revenue</t>
  </si>
  <si>
    <t>Total Liabilities</t>
  </si>
  <si>
    <t>Projected Total Liabilities/Revenue</t>
  </si>
  <si>
    <t>Projected Total Liabilities</t>
  </si>
  <si>
    <t>Total Stockholders Equity</t>
  </si>
  <si>
    <t>Projected Total Stockholders Equity</t>
  </si>
  <si>
    <t>Projected Net Capital Available</t>
  </si>
  <si>
    <t>The "Bottom Line"</t>
  </si>
  <si>
    <t>NA</t>
  </si>
  <si>
    <t>Copy and paste your base case projections worksheet to this one. Then modify the assumptions to take into account the results of your recommendations.</t>
  </si>
  <si>
    <t>Net revenue</t>
  </si>
  <si>
    <t>Gross profit</t>
  </si>
  <si>
    <t>Operating expenses:</t>
  </si>
  <si>
    <t>Basic (in dollars per share)</t>
  </si>
  <si>
    <t>Diluted (in dollars per share)</t>
  </si>
  <si>
    <t>Basic (in shares)</t>
  </si>
  <si>
    <t>Diluted (in shares)</t>
  </si>
  <si>
    <t>Current assets:</t>
  </si>
  <si>
    <t>Property and equipment, net</t>
  </si>
  <si>
    <t>Goodwill</t>
  </si>
  <si>
    <t>TOTAL ASSETS</t>
  </si>
  <si>
    <t>Current liabilities:</t>
  </si>
  <si>
    <t>Accounts payable</t>
  </si>
  <si>
    <t>Other liabilities</t>
  </si>
  <si>
    <t>TOTAL LIABILITIES</t>
  </si>
  <si>
    <t>Stockholders' equity:</t>
  </si>
  <si>
    <t>Additional paid-in capital</t>
  </si>
  <si>
    <t>Accumulated other comprehensive loss</t>
  </si>
  <si>
    <t>Total stockholders' equity</t>
  </si>
  <si>
    <t>TOTAL LIABILITIES AND STOCKHOLDERS' EQUITY</t>
  </si>
  <si>
    <t>EOY 2024</t>
  </si>
  <si>
    <t>Yeti Holdings,  Key Financial Ratios</t>
  </si>
  <si>
    <t>Yeti Holdings (YETI)</t>
  </si>
  <si>
    <t>Yeti Holdgings (YETI)</t>
  </si>
  <si>
    <t>Yeti Holdings, Base Case Projections</t>
  </si>
  <si>
    <t>Selling, General, &amp; Administrative Expenses</t>
  </si>
  <si>
    <t>Interest income (expense), net</t>
  </si>
  <si>
    <t>Other (expense) income, net</t>
  </si>
  <si>
    <t>Income tax expense</t>
  </si>
  <si>
    <t>Net income per share</t>
  </si>
  <si>
    <t>Weighted-average common shares outstanding</t>
  </si>
  <si>
    <t>Consolidated Statements Of Operations - USD ($) in Thousands</t>
  </si>
  <si>
    <t>Income Statement</t>
  </si>
  <si>
    <t>Cost of goods sold</t>
  </si>
  <si>
    <t>Cash</t>
  </si>
  <si>
    <t>Accounts Receivables, net</t>
  </si>
  <si>
    <t>Inventory</t>
  </si>
  <si>
    <t>Prepaid expenses and other current assets</t>
  </si>
  <si>
    <t>Intangible assets, net</t>
  </si>
  <si>
    <t>Accrued expenses and other current liabilities</t>
  </si>
  <si>
    <t>Taxes payable</t>
  </si>
  <si>
    <t>Accrued payroll and related costs</t>
  </si>
  <si>
    <t>Operating lease liabilities</t>
  </si>
  <si>
    <t>Current maturities of long-term debt</t>
  </si>
  <si>
    <t>Long-term debt, net of current portion</t>
  </si>
  <si>
    <t>Operating lease liabilities, non-current</t>
  </si>
  <si>
    <t>Commitments and contingencies</t>
  </si>
  <si>
    <t>CURRENT LIABILITIES</t>
  </si>
  <si>
    <t>CURRENT ASSETS</t>
  </si>
  <si>
    <t>Operating lease right-of-use assets</t>
  </si>
  <si>
    <t>Common stock, $0.01 par value</t>
  </si>
  <si>
    <t>Treasury stock, at cost</t>
  </si>
  <si>
    <t>Retained Earnings</t>
  </si>
  <si>
    <t>Consolidated Balance Sheets - USD ($) $ in Thousands</t>
  </si>
  <si>
    <t>Preferred stock, $10 par value</t>
  </si>
  <si>
    <t>Deferred income taxes</t>
  </si>
  <si>
    <t>Deferred charges and other assets</t>
  </si>
  <si>
    <t>LONG-TERM LIABILITIES</t>
  </si>
  <si>
    <t>Average Total Assets</t>
  </si>
  <si>
    <t>na</t>
  </si>
  <si>
    <t>Average Inventory</t>
  </si>
  <si>
    <r>
      <t>Operating income (</t>
    </r>
    <r>
      <rPr>
        <b/>
        <sz val="12"/>
        <rFont val="Calibri"/>
        <family val="2"/>
      </rPr>
      <t>EBIT</t>
    </r>
    <r>
      <rPr>
        <sz val="12"/>
        <rFont val="Calibri"/>
        <family val="2"/>
      </rPr>
      <t>)</t>
    </r>
  </si>
  <si>
    <r>
      <t>Income before income taxes (</t>
    </r>
    <r>
      <rPr>
        <b/>
        <sz val="12"/>
        <rFont val="Calibri"/>
        <family val="2"/>
      </rPr>
      <t>EBT</t>
    </r>
    <r>
      <rPr>
        <sz val="12"/>
        <rFont val="Calibri"/>
        <family val="2"/>
      </rPr>
      <t>)</t>
    </r>
  </si>
  <si>
    <r>
      <t>Net income (</t>
    </r>
    <r>
      <rPr>
        <b/>
        <sz val="12"/>
        <rFont val="Calibri"/>
        <family val="2"/>
      </rPr>
      <t>EAT</t>
    </r>
    <r>
      <rPr>
        <sz val="12"/>
        <rFont val="Calibri"/>
        <family val="2"/>
      </rPr>
      <t>)</t>
    </r>
  </si>
  <si>
    <t>Net income after taxes (EAT)</t>
  </si>
  <si>
    <t>Average Accounts Receivable</t>
  </si>
  <si>
    <t>Long  Term Assets</t>
  </si>
  <si>
    <t>Average Long  Term Assets</t>
  </si>
  <si>
    <t>William Wallace</t>
  </si>
  <si>
    <t xml:space="preserve">      </t>
  </si>
  <si>
    <t xml:space="preserve"> </t>
  </si>
  <si>
    <t>Mean</t>
  </si>
  <si>
    <t>2023, 2024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</si>
</sst>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 &quot;#,##0_);_(&quot;$ &quot;\(#,##0\)"/>
    <numFmt numFmtId="165" formatCode="_(&quot;$ &quot;#,##0.00_);_(&quot;$ &quot;\(#,##0.00\)"/>
    <numFmt numFmtId="166" formatCode="#,##0.0_);\(#,##0.0\)"/>
    <numFmt numFmtId="167" formatCode="_(&quot;$ &quot;#,##0.0_);_(&quot;$ &quot;\(#,##0.0\)"/>
    <numFmt numFmtId="168" formatCode="0.0%"/>
    <numFmt numFmtId="169" formatCode="&quot;$&quot;#,##0"/>
    <numFmt numFmtId="170" formatCode="_(&quot;$&quot;* #,##0_);_(&quot;$&quot;* \(#,##0\);_(&quot;$&quot;* &quot;-&quot;??_);_(@_)"/>
    <numFmt numFmtId="171" formatCode="&quot;$&quot;#,##0.00"/>
    <numFmt numFmtId="172" formatCode="_(&quot;$&quot;* #,##0.0_);_(&quot;$&quot;* \(#,##0.0\);_(&quot;$&quot;* &quot;-&quot;??_);_(@_)"/>
    <numFmt numFmtId="173" formatCode="_(&quot;$&quot;* #,##0_);_(&quot;$&quot;* \(#,##0\);_(&quot;$&quot;* &quot;-&quot;?_);_(@_)"/>
    <numFmt numFmtId="17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horizontal="right" vertical="top"/>
    </xf>
    <xf numFmtId="37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  <xf numFmtId="37" fontId="0" fillId="0" borderId="0" xfId="0" applyNumberFormat="1"/>
    <xf numFmtId="0" fontId="5" fillId="0" borderId="0" xfId="0" applyFont="1"/>
    <xf numFmtId="0" fontId="6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169" fontId="1" fillId="0" borderId="0" xfId="0" applyNumberFormat="1" applyFont="1" applyAlignment="1">
      <alignment horizontal="right" vertical="top"/>
    </xf>
    <xf numFmtId="168" fontId="4" fillId="0" borderId="0" xfId="2" applyNumberFormat="1" applyFont="1" applyAlignment="1">
      <alignment horizontal="center"/>
    </xf>
    <xf numFmtId="0" fontId="4" fillId="0" borderId="0" xfId="0" applyFont="1" applyAlignment="1">
      <alignment horizontal="right" vertical="top" wrapText="1"/>
    </xf>
    <xf numFmtId="168" fontId="0" fillId="2" borderId="6" xfId="2" applyNumberFormat="1" applyFont="1" applyFill="1" applyBorder="1" applyAlignment="1">
      <alignment horizontal="right"/>
    </xf>
    <xf numFmtId="171" fontId="4" fillId="0" borderId="0" xfId="0" applyNumberFormat="1" applyFont="1"/>
    <xf numFmtId="0" fontId="0" fillId="3" borderId="0" xfId="0" applyFill="1" applyAlignment="1">
      <alignment horizontal="center"/>
    </xf>
    <xf numFmtId="172" fontId="0" fillId="3" borderId="0" xfId="1" applyNumberFormat="1" applyFont="1" applyFill="1" applyBorder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right" vertical="top" wrapText="1"/>
    </xf>
    <xf numFmtId="37" fontId="1" fillId="0" borderId="0" xfId="0" applyNumberFormat="1" applyFont="1" applyAlignment="1">
      <alignment horizontal="right" vertical="top"/>
    </xf>
    <xf numFmtId="170" fontId="0" fillId="0" borderId="0" xfId="1" applyNumberFormat="1" applyFont="1" applyBorder="1"/>
    <xf numFmtId="37" fontId="7" fillId="0" borderId="0" xfId="0" applyNumberFormat="1" applyFont="1" applyAlignment="1">
      <alignment horizontal="center" vertical="top"/>
    </xf>
    <xf numFmtId="170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center" vertical="top"/>
    </xf>
    <xf numFmtId="170" fontId="0" fillId="0" borderId="0" xfId="0" applyNumberFormat="1"/>
    <xf numFmtId="0" fontId="4" fillId="2" borderId="7" xfId="0" applyFont="1" applyFill="1" applyBorder="1" applyAlignment="1">
      <alignment horizontal="center"/>
    </xf>
    <xf numFmtId="0" fontId="0" fillId="2" borderId="3" xfId="0" applyFill="1" applyBorder="1" applyAlignment="1">
      <alignment horizontal="right"/>
    </xf>
    <xf numFmtId="168" fontId="0" fillId="2" borderId="3" xfId="2" applyNumberFormat="1" applyFont="1" applyFill="1" applyBorder="1" applyAlignment="1">
      <alignment horizontal="center"/>
    </xf>
    <xf numFmtId="168" fontId="0" fillId="2" borderId="3" xfId="2" applyNumberFormat="1" applyFont="1" applyFill="1" applyBorder="1"/>
    <xf numFmtId="0" fontId="4" fillId="2" borderId="3" xfId="0" applyFont="1" applyFill="1" applyBorder="1" applyAlignment="1">
      <alignment horizontal="center"/>
    </xf>
    <xf numFmtId="169" fontId="0" fillId="2" borderId="3" xfId="0" applyNumberFormat="1" applyFill="1" applyBorder="1" applyAlignment="1">
      <alignment horizontal="center"/>
    </xf>
    <xf numFmtId="170" fontId="0" fillId="2" borderId="3" xfId="1" applyNumberFormat="1" applyFont="1" applyFill="1" applyBorder="1" applyAlignment="1">
      <alignment horizontal="right"/>
    </xf>
    <xf numFmtId="166" fontId="1" fillId="0" borderId="0" xfId="0" applyNumberFormat="1" applyFont="1" applyAlignment="1">
      <alignment horizontal="right" vertical="top"/>
    </xf>
    <xf numFmtId="166" fontId="0" fillId="0" borderId="0" xfId="0" applyNumberFormat="1"/>
    <xf numFmtId="167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8" fontId="4" fillId="0" borderId="0" xfId="2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168" fontId="0" fillId="2" borderId="3" xfId="0" applyNumberFormat="1" applyFill="1" applyBorder="1" applyAlignment="1">
      <alignment horizontal="right"/>
    </xf>
    <xf numFmtId="0" fontId="4" fillId="4" borderId="3" xfId="0" applyFont="1" applyFill="1" applyBorder="1" applyAlignment="1">
      <alignment horizontal="center"/>
    </xf>
    <xf numFmtId="170" fontId="0" fillId="4" borderId="3" xfId="1" applyNumberFormat="1" applyFont="1" applyFill="1" applyBorder="1"/>
    <xf numFmtId="170" fontId="0" fillId="4" borderId="3" xfId="0" applyNumberFormat="1" applyFill="1" applyBorder="1"/>
    <xf numFmtId="168" fontId="0" fillId="4" borderId="3" xfId="2" applyNumberFormat="1" applyFont="1" applyFill="1" applyBorder="1"/>
    <xf numFmtId="44" fontId="0" fillId="4" borderId="3" xfId="0" applyNumberFormat="1" applyFill="1" applyBorder="1" applyAlignment="1">
      <alignment horizontal="right"/>
    </xf>
    <xf numFmtId="44" fontId="0" fillId="4" borderId="3" xfId="1" applyFont="1" applyFill="1" applyBorder="1" applyAlignment="1">
      <alignment horizontal="center"/>
    </xf>
    <xf numFmtId="44" fontId="0" fillId="4" borderId="3" xfId="0" applyNumberFormat="1" applyFill="1" applyBorder="1"/>
    <xf numFmtId="170" fontId="0" fillId="4" borderId="3" xfId="1" applyNumberFormat="1" applyFont="1" applyFill="1" applyBorder="1" applyAlignment="1">
      <alignment horizontal="right"/>
    </xf>
    <xf numFmtId="168" fontId="4" fillId="4" borderId="3" xfId="2" applyNumberFormat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170" fontId="0" fillId="4" borderId="8" xfId="1" applyNumberFormat="1" applyFont="1" applyFill="1" applyBorder="1" applyAlignment="1">
      <alignment horizontal="right"/>
    </xf>
    <xf numFmtId="173" fontId="0" fillId="4" borderId="3" xfId="0" applyNumberFormat="1" applyFill="1" applyBorder="1" applyAlignment="1">
      <alignment horizontal="right"/>
    </xf>
    <xf numFmtId="0" fontId="4" fillId="3" borderId="0" xfId="0" applyFont="1" applyFill="1" applyAlignment="1">
      <alignment horizontal="center"/>
    </xf>
    <xf numFmtId="0" fontId="1" fillId="3" borderId="0" xfId="0" applyFont="1" applyFill="1" applyAlignment="1">
      <alignment horizontal="right" vertical="top" wrapText="1"/>
    </xf>
    <xf numFmtId="44" fontId="2" fillId="4" borderId="3" xfId="1" applyFont="1" applyFill="1" applyBorder="1" applyAlignment="1">
      <alignment horizontal="right" vertical="top"/>
    </xf>
    <xf numFmtId="44" fontId="1" fillId="4" borderId="3" xfId="1" applyFont="1" applyFill="1" applyBorder="1" applyAlignment="1">
      <alignment horizontal="right" vertical="top"/>
    </xf>
    <xf numFmtId="170" fontId="2" fillId="4" borderId="3" xfId="1" applyNumberFormat="1" applyFont="1" applyFill="1" applyBorder="1" applyAlignment="1">
      <alignment horizontal="right" vertical="top"/>
    </xf>
    <xf numFmtId="170" fontId="1" fillId="0" borderId="3" xfId="1" applyNumberFormat="1" applyFont="1" applyBorder="1" applyAlignment="1">
      <alignment horizontal="right" vertical="top"/>
    </xf>
    <xf numFmtId="170" fontId="4" fillId="0" borderId="0" xfId="1" applyNumberFormat="1" applyFont="1"/>
    <xf numFmtId="170" fontId="4" fillId="3" borderId="0" xfId="1" applyNumberFormat="1" applyFont="1" applyFill="1" applyBorder="1"/>
    <xf numFmtId="44" fontId="1" fillId="4" borderId="3" xfId="1" applyFont="1" applyFill="1" applyBorder="1" applyAlignment="1">
      <alignment horizontal="center" vertical="top"/>
    </xf>
    <xf numFmtId="0" fontId="4" fillId="5" borderId="3" xfId="0" applyFont="1" applyFill="1" applyBorder="1" applyAlignment="1">
      <alignment horizontal="center"/>
    </xf>
    <xf numFmtId="173" fontId="4" fillId="5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/>
    <xf numFmtId="0" fontId="8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/>
    <xf numFmtId="0" fontId="7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0" borderId="5" xfId="0" applyFont="1" applyBorder="1" applyAlignment="1">
      <alignment vertical="top" wrapText="1"/>
    </xf>
    <xf numFmtId="164" fontId="11" fillId="0" borderId="5" xfId="0" applyNumberFormat="1" applyFont="1" applyBorder="1" applyAlignment="1">
      <alignment horizontal="right" vertical="top"/>
    </xf>
    <xf numFmtId="37" fontId="11" fillId="0" borderId="5" xfId="0" applyNumberFormat="1" applyFont="1" applyBorder="1" applyAlignment="1">
      <alignment horizontal="right" vertical="top"/>
    </xf>
    <xf numFmtId="0" fontId="7" fillId="0" borderId="5" xfId="0" applyFont="1" applyBorder="1" applyAlignment="1">
      <alignment vertical="top" wrapText="1"/>
    </xf>
    <xf numFmtId="0" fontId="10" fillId="0" borderId="5" xfId="0" applyFont="1" applyBorder="1"/>
    <xf numFmtId="165" fontId="11" fillId="0" borderId="5" xfId="0" applyNumberFormat="1" applyFont="1" applyBorder="1" applyAlignment="1">
      <alignment horizontal="right" vertical="top"/>
    </xf>
    <xf numFmtId="0" fontId="2" fillId="0" borderId="5" xfId="0" applyFont="1" applyBorder="1" applyAlignment="1">
      <alignment vertical="top" wrapText="1"/>
    </xf>
    <xf numFmtId="37" fontId="2" fillId="0" borderId="5" xfId="0" applyNumberFormat="1" applyFont="1" applyBorder="1" applyAlignment="1">
      <alignment horizontal="right" vertical="top"/>
    </xf>
    <xf numFmtId="0" fontId="0" fillId="0" borderId="5" xfId="0" applyBorder="1"/>
    <xf numFmtId="3" fontId="0" fillId="0" borderId="5" xfId="0" applyNumberFormat="1" applyBorder="1"/>
    <xf numFmtId="0" fontId="1" fillId="0" borderId="5" xfId="0" applyFont="1" applyBorder="1" applyAlignment="1">
      <alignment vertical="top" wrapText="1"/>
    </xf>
    <xf numFmtId="0" fontId="0" fillId="0" borderId="5" xfId="0" applyBorder="1" applyAlignment="1">
      <alignment horizontal="center"/>
    </xf>
    <xf numFmtId="44" fontId="0" fillId="0" borderId="5" xfId="1" applyFont="1" applyBorder="1"/>
    <xf numFmtId="170" fontId="0" fillId="0" borderId="5" xfId="1" applyNumberFormat="1" applyFont="1" applyBorder="1"/>
    <xf numFmtId="44" fontId="11" fillId="0" borderId="5" xfId="1" applyFont="1" applyBorder="1" applyAlignment="1">
      <alignment horizontal="right" vertical="top"/>
    </xf>
    <xf numFmtId="44" fontId="0" fillId="0" borderId="0" xfId="1" applyFont="1"/>
    <xf numFmtId="44" fontId="10" fillId="0" borderId="5" xfId="1" applyFont="1" applyBorder="1"/>
    <xf numFmtId="44" fontId="11" fillId="0" borderId="10" xfId="1" applyFont="1" applyFill="1" applyBorder="1" applyAlignment="1">
      <alignment horizontal="right" vertical="top"/>
    </xf>
    <xf numFmtId="174" fontId="0" fillId="0" borderId="5" xfId="3" applyNumberFormat="1" applyFont="1" applyBorder="1"/>
    <xf numFmtId="0" fontId="1" fillId="0" borderId="5" xfId="0" applyFont="1" applyBorder="1" applyAlignment="1">
      <alignment horizontal="right" vertical="top" wrapText="1"/>
    </xf>
    <xf numFmtId="170" fontId="2" fillId="0" borderId="5" xfId="1" applyNumberFormat="1" applyFont="1" applyBorder="1" applyAlignment="1">
      <alignment horizontal="right" vertical="top"/>
    </xf>
    <xf numFmtId="37" fontId="1" fillId="0" borderId="5" xfId="0" applyNumberFormat="1" applyFont="1" applyBorder="1" applyAlignment="1">
      <alignment horizontal="right" vertical="top"/>
    </xf>
    <xf numFmtId="170" fontId="1" fillId="0" borderId="5" xfId="1" applyNumberFormat="1" applyFont="1" applyBorder="1" applyAlignment="1">
      <alignment horizontal="right" vertical="top"/>
    </xf>
    <xf numFmtId="170" fontId="4" fillId="0" borderId="5" xfId="1" applyNumberFormat="1" applyFont="1" applyBorder="1"/>
    <xf numFmtId="10" fontId="0" fillId="0" borderId="5" xfId="2" applyNumberFormat="1" applyFont="1" applyBorder="1"/>
    <xf numFmtId="2" fontId="0" fillId="0" borderId="5" xfId="0" applyNumberFormat="1" applyBorder="1"/>
    <xf numFmtId="9" fontId="0" fillId="0" borderId="5" xfId="2" applyFont="1" applyBorder="1"/>
    <xf numFmtId="2" fontId="0" fillId="0" borderId="5" xfId="2" applyNumberFormat="1" applyFont="1" applyBorder="1"/>
    <xf numFmtId="10" fontId="0" fillId="0" borderId="0" xfId="0" applyNumberFormat="1"/>
    <xf numFmtId="2" fontId="0" fillId="0" borderId="0" xfId="0" applyNumberFormat="1"/>
    <xf numFmtId="9" fontId="0" fillId="0" borderId="0" xfId="0" applyNumberForma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0" fillId="0" borderId="0" xfId="0" applyFont="1"/>
    <xf numFmtId="0" fontId="8" fillId="0" borderId="0" xfId="0" applyFont="1" applyAlignment="1">
      <alignment horizontal="center"/>
    </xf>
    <xf numFmtId="0" fontId="1" fillId="5" borderId="3" xfId="0" applyFont="1" applyFill="1" applyBorder="1" applyAlignment="1">
      <alignment horizontal="center" vertical="top" wrapText="1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hartsheet" Target="chartsheets/sheet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'Financial Ratios'!$B$10:$H$10</c:f>
              <c:numCache>
                <c:formatCode>0.00</c:formatCode>
                <c:ptCount val="7"/>
                <c:pt idx="0">
                  <c:v>17.7492319906113</c:v>
                </c:pt>
                <c:pt idx="1">
                  <c:v>5.1599442645793205</c:v>
                </c:pt>
                <c:pt idx="2">
                  <c:v>2.555551317878912</c:v>
                </c:pt>
                <c:pt idx="3">
                  <c:v>2.1172562825521464</c:v>
                </c:pt>
                <c:pt idx="4">
                  <c:v>2.0452270469555174</c:v>
                </c:pt>
                <c:pt idx="5">
                  <c:v>1.7926673207943506</c:v>
                </c:pt>
                <c:pt idx="6">
                  <c:v>1.7377487309267443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8-2F41-90FD-F68FE1C7E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1648256"/>
        <c:axId val="1341639744"/>
      </c:barChart>
      <c:catAx>
        <c:axId val="1341648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639744"/>
        <c:crosses val="autoZero"/>
        <c:auto val="1"/>
        <c:lblAlgn val="ctr"/>
        <c:lblOffset val="100"/>
        <c:noMultiLvlLbl val="0"/>
      </c:catAx>
      <c:valAx>
        <c:axId val="134163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64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 on Equity for Yeti Holdings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34-4345-9947-24B2A03EB7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1750" cap="rnd">
                <a:solidFill>
                  <a:srgbClr val="FF0000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cat>
            <c:numRef>
              <c:f>'Financial Ratios'!$B$7:$H$7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'Financial Ratios'!$B$12:$H$12</c:f>
              <c:numCache>
                <c:formatCode>0.00%</c:formatCode>
                <c:ptCount val="7"/>
                <c:pt idx="0">
                  <c:v>1.9938214076145109</c:v>
                </c:pt>
                <c:pt idx="1">
                  <c:v>0.41337650096307527</c:v>
                </c:pt>
                <c:pt idx="2">
                  <c:v>0.54019166626216109</c:v>
                </c:pt>
                <c:pt idx="3">
                  <c:v>0.41056886233326834</c:v>
                </c:pt>
                <c:pt idx="4">
                  <c:v>0.17036451734833619</c:v>
                </c:pt>
                <c:pt idx="5">
                  <c:v>0.23477425685106618</c:v>
                </c:pt>
                <c:pt idx="6">
                  <c:v>0.23738324323374863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34-4345-9947-24B2A03EB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overlap val="-27"/>
        <c:axId val="1408369536"/>
        <c:axId val="1408371328"/>
      </c:barChart>
      <c:catAx>
        <c:axId val="140836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371328"/>
        <c:crosses val="autoZero"/>
        <c:auto val="1"/>
        <c:lblAlgn val="ctr"/>
        <c:lblOffset val="100"/>
        <c:noMultiLvlLbl val="0"/>
      </c:catAx>
      <c:valAx>
        <c:axId val="140837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36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Net Profit Margin for Yeti Holdings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49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'Financial Ratios'!$B$7:$H$7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'Financial Ratios'!$B$8:$H$8</c:f>
              <c:numCache>
                <c:formatCode>0.00%</c:formatCode>
                <c:ptCount val="7"/>
                <c:pt idx="0">
                  <c:v>7.4166092089061456E-2</c:v>
                </c:pt>
                <c:pt idx="1">
                  <c:v>5.5195494531231189E-2</c:v>
                </c:pt>
                <c:pt idx="2">
                  <c:v>0.14271137039591617</c:v>
                </c:pt>
                <c:pt idx="3">
                  <c:v>0.15067587344763142</c:v>
                </c:pt>
                <c:pt idx="4">
                  <c:v>5.6226029982033847E-2</c:v>
                </c:pt>
                <c:pt idx="5">
                  <c:v>0.10241976761501236</c:v>
                </c:pt>
                <c:pt idx="6">
                  <c:v>9.6011581131586726E-2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02-DB49-AB4E-E5A470DB1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8375808"/>
        <c:axId val="1408383424"/>
      </c:barChart>
      <c:catAx>
        <c:axId val="140837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383424"/>
        <c:crosses val="autoZero"/>
        <c:auto val="1"/>
        <c:lblAlgn val="ctr"/>
        <c:lblOffset val="100"/>
        <c:noMultiLvlLbl val="0"/>
      </c:catAx>
      <c:valAx>
        <c:axId val="140838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37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Gross</a:t>
            </a:r>
            <a:r>
              <a:rPr lang="en-US" b="1" baseline="0"/>
              <a:t> Profit Margin for Yeti Holdings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17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'Financial Ratios'!$B$7:$H$7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'Financial Ratios'!$B$15:$H$15</c:f>
              <c:numCache>
                <c:formatCode>0.00%</c:formatCode>
                <c:ptCount val="7"/>
                <c:pt idx="0">
                  <c:v>0.49192574017793289</c:v>
                </c:pt>
                <c:pt idx="1">
                  <c:v>0.52018858880155494</c:v>
                </c:pt>
                <c:pt idx="2">
                  <c:v>0.57597408128999994</c:v>
                </c:pt>
                <c:pt idx="3">
                  <c:v>0.57839784718378384</c:v>
                </c:pt>
                <c:pt idx="4">
                  <c:v>0.4785547089997505</c:v>
                </c:pt>
                <c:pt idx="5">
                  <c:v>0.56862519314673488</c:v>
                </c:pt>
                <c:pt idx="6">
                  <c:v>0.58106983380813859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5C-E04D-8C83-356361DA1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5693824"/>
        <c:axId val="1145694720"/>
      </c:barChart>
      <c:catAx>
        <c:axId val="114569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694720"/>
        <c:crosses val="autoZero"/>
        <c:auto val="1"/>
        <c:lblAlgn val="ctr"/>
        <c:lblOffset val="100"/>
        <c:noMultiLvlLbl val="0"/>
      </c:catAx>
      <c:valAx>
        <c:axId val="114569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69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Margins for Yeti Holdings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EBIT Margin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'Financial Ratios'!$B$16:$H$16</c:f>
              <c:numCache>
                <c:formatCode>0.00%</c:formatCode>
                <c:ptCount val="7"/>
                <c:pt idx="0">
                  <c:v>0.13116547449838412</c:v>
                </c:pt>
                <c:pt idx="1">
                  <c:v>9.8246316761770924E-2</c:v>
                </c:pt>
                <c:pt idx="2">
                  <c:v>0.19623420269464451</c:v>
                </c:pt>
                <c:pt idx="3">
                  <c:v>0.194854814601673</c:v>
                </c:pt>
                <c:pt idx="4">
                  <c:v>7.9212172349679227E-2</c:v>
                </c:pt>
                <c:pt idx="5">
                  <c:v>0.13592345390673372</c:v>
                </c:pt>
                <c:pt idx="6">
                  <c:v>0.13409455191699096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DA-384F-8BE5-0BEF66502475}"/>
            </c:ext>
          </c:extLst>
        </c:ser>
        <c:ser>
          <c:idx val="2"/>
          <c:order val="2"/>
          <c:tx>
            <c:v>EBT Margin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'Financial Ratios'!$B$17:$H$17</c:f>
              <c:numCache>
                <c:formatCode>0.00%</c:formatCode>
                <c:ptCount val="7"/>
                <c:pt idx="0">
                  <c:v>8.9383731814137307E-2</c:v>
                </c:pt>
                <c:pt idx="1">
                  <c:v>7.3607855240146472E-2</c:v>
                </c:pt>
                <c:pt idx="2">
                  <c:v>0.18796102667256562</c:v>
                </c:pt>
                <c:pt idx="3">
                  <c:v>0.19022827250956598</c:v>
                </c:pt>
                <c:pt idx="4">
                  <c:v>7.2828107937327843E-2</c:v>
                </c:pt>
                <c:pt idx="5">
                  <c:v>0.13621765790706408</c:v>
                </c:pt>
                <c:pt idx="6">
                  <c:v>0.12724817514658121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DA-384F-8BE5-0BEF66502475}"/>
            </c:ext>
          </c:extLst>
        </c:ser>
        <c:ser>
          <c:idx val="3"/>
          <c:order val="3"/>
          <c:tx>
            <c:v>Net Margin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'Financial Ratios'!$B$18:$H$18</c:f>
              <c:numCache>
                <c:formatCode>0.00%</c:formatCode>
                <c:ptCount val="7"/>
                <c:pt idx="0">
                  <c:v>7.4166092089061456E-2</c:v>
                </c:pt>
                <c:pt idx="1">
                  <c:v>5.5195494531231189E-2</c:v>
                </c:pt>
                <c:pt idx="2">
                  <c:v>0.14271137039591617</c:v>
                </c:pt>
                <c:pt idx="3">
                  <c:v>0.15067587344763142</c:v>
                </c:pt>
                <c:pt idx="4">
                  <c:v>5.6226029982033847E-2</c:v>
                </c:pt>
                <c:pt idx="5">
                  <c:v>0.10241976761501236</c:v>
                </c:pt>
                <c:pt idx="6">
                  <c:v>9.6011581131586726E-2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DA-384F-8BE5-0BEF66502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5813440"/>
        <c:axId val="1145800896"/>
      </c:lineChart>
      <c:lineChart>
        <c:grouping val="standard"/>
        <c:varyColors val="0"/>
        <c:ser>
          <c:idx val="0"/>
          <c:order val="0"/>
          <c:tx>
            <c:v>Gross Margin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'Financial Ratios'!$B$7:$H$7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'Financial Ratios'!$B$15:$H$15</c:f>
              <c:numCache>
                <c:formatCode>0.00%</c:formatCode>
                <c:ptCount val="7"/>
                <c:pt idx="0">
                  <c:v>0.49192574017793289</c:v>
                </c:pt>
                <c:pt idx="1">
                  <c:v>0.52018858880155494</c:v>
                </c:pt>
                <c:pt idx="2">
                  <c:v>0.57597408128999994</c:v>
                </c:pt>
                <c:pt idx="3">
                  <c:v>0.57839784718378384</c:v>
                </c:pt>
                <c:pt idx="4">
                  <c:v>0.4785547089997505</c:v>
                </c:pt>
                <c:pt idx="5">
                  <c:v>0.56862519314673488</c:v>
                </c:pt>
                <c:pt idx="6">
                  <c:v>0.58106983380813859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DA-384F-8BE5-0BEF66502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5285184"/>
        <c:axId val="975280256"/>
      </c:lineChart>
      <c:catAx>
        <c:axId val="114581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00896"/>
        <c:crosses val="autoZero"/>
        <c:auto val="1"/>
        <c:lblAlgn val="ctr"/>
        <c:lblOffset val="100"/>
        <c:noMultiLvlLbl val="0"/>
      </c:catAx>
      <c:valAx>
        <c:axId val="114580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13440"/>
        <c:crosses val="autoZero"/>
        <c:crossBetween val="between"/>
      </c:valAx>
      <c:valAx>
        <c:axId val="97528025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285184"/>
        <c:crosses val="max"/>
        <c:crossBetween val="between"/>
      </c:valAx>
      <c:catAx>
        <c:axId val="975285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52802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Turnover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 w="101600">
              <a:solidFill>
                <a:schemeClr val="tx1"/>
              </a:solidFill>
            </a:ln>
            <a:effectLst/>
          </c:spPr>
          <c:invertIfNegative val="0"/>
          <c:trendline>
            <c:spPr>
              <a:ln w="317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'Financial Ratios'!$B$7:$H$7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'Financial Ratios'!$B$9:$H$9</c:f>
              <c:numCache>
                <c:formatCode>0.00</c:formatCode>
                <c:ptCount val="7"/>
                <c:pt idx="0">
                  <c:v>1.5146116492581867</c:v>
                </c:pt>
                <c:pt idx="1">
                  <c:v>1.4514335092821891</c:v>
                </c:pt>
                <c:pt idx="2">
                  <c:v>1.4811692831180883</c:v>
                </c:pt>
                <c:pt idx="3">
                  <c:v>1.2869712978536325</c:v>
                </c:pt>
                <c:pt idx="4">
                  <c:v>1.481495033735309</c:v>
                </c:pt>
                <c:pt idx="5">
                  <c:v>1.2786950582488945</c:v>
                </c:pt>
                <c:pt idx="6">
                  <c:v>1.4227855876590054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1E-1044-A790-CD91512DE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808256"/>
        <c:axId val="1148921920"/>
      </c:barChart>
      <c:catAx>
        <c:axId val="97480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921920"/>
        <c:crosses val="autoZero"/>
        <c:auto val="1"/>
        <c:lblAlgn val="ctr"/>
        <c:lblOffset val="100"/>
        <c:noMultiLvlLbl val="0"/>
      </c:catAx>
      <c:valAx>
        <c:axId val="114892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80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D172201-161D-F142-B84F-083823A1C5F7}">
  <sheetPr/>
  <sheetViews>
    <sheetView zoomScale="14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4CFC635-FAB7-C444-A74A-84D8FE98BDF2}">
  <sheetPr/>
  <sheetViews>
    <sheetView zoomScale="14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1490254-1FAE-D941-9FB9-69C8BDAB0B00}">
  <sheetPr/>
  <sheetViews>
    <sheetView zoomScale="149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1FE93AB-BC21-9547-8196-11AC2A59B84D}">
  <sheetPr/>
  <sheetViews>
    <sheetView zoomScale="208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2AC8620-C5EE-3C46-AC13-AC6CAD40254E}">
  <sheetPr/>
  <sheetViews>
    <sheetView zoomScale="20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242783</xdr:colOff>
      <xdr:row>32</xdr:row>
      <xdr:rowOff>23630</xdr:rowOff>
    </xdr:from>
    <xdr:to>
      <xdr:col>13</xdr:col>
      <xdr:colOff>518350</xdr:colOff>
      <xdr:row>43</xdr:row>
      <xdr:rowOff>23630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B37EC6-BE26-D4BB-9FBA-1F3E9BD03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6913" cy="628181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CB4F5-A78B-BDE5-9C31-0D7684195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6913" cy="628181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554802-E7A2-7A13-B341-3B3EECFCF3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6913" cy="628181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4A9E49-D1DA-BAB7-4B49-B99F2064D9D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6298" cy="628894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D08F7-F45C-A697-C75E-B4677D56DA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6298" cy="628894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FF7577-CD9C-0D56-B140-73B769D0C92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EF5DE-B8DF-4ECC-AFCC-2BF097579E62}">
  <dimension ref="A4:O31"/>
  <sheetViews>
    <sheetView tabSelected="1" zoomScale="107" workbookViewId="0">
      <selection activeCell="K63" sqref="K63"/>
    </sheetView>
  </sheetViews>
  <sheetFormatPr baseColWidth="10" defaultColWidth="8.83203125" defaultRowHeight="15" x14ac:dyDescent="0.2"/>
  <cols>
    <col min="1" max="1" width="45.6640625" customWidth="1"/>
    <col min="10" max="10" width="10" bestFit="1" customWidth="1"/>
  </cols>
  <sheetData>
    <row r="4" spans="1:10" ht="19" x14ac:dyDescent="0.25">
      <c r="A4" s="8" t="s">
        <v>81</v>
      </c>
    </row>
    <row r="5" spans="1:10" ht="19" x14ac:dyDescent="0.25">
      <c r="A5" s="9" t="s">
        <v>3</v>
      </c>
      <c r="B5" s="108" t="s">
        <v>128</v>
      </c>
      <c r="C5" s="109"/>
      <c r="D5" s="109"/>
      <c r="E5" s="109"/>
      <c r="F5" s="109"/>
      <c r="G5" s="110"/>
    </row>
    <row r="6" spans="1:10" x14ac:dyDescent="0.2">
      <c r="J6" s="23" t="s">
        <v>132</v>
      </c>
    </row>
    <row r="7" spans="1:10" x14ac:dyDescent="0.2">
      <c r="A7" s="10" t="s">
        <v>4</v>
      </c>
      <c r="B7" s="10">
        <v>2018</v>
      </c>
      <c r="C7" s="10">
        <v>2019</v>
      </c>
      <c r="D7" s="10">
        <v>2020</v>
      </c>
      <c r="E7" s="10">
        <v>2021</v>
      </c>
      <c r="F7" s="10">
        <v>2022</v>
      </c>
      <c r="G7" s="10">
        <v>2023</v>
      </c>
      <c r="H7" s="10">
        <v>2024</v>
      </c>
      <c r="I7" s="23" t="s">
        <v>131</v>
      </c>
      <c r="J7" s="23" t="s">
        <v>131</v>
      </c>
    </row>
    <row r="8" spans="1:10" x14ac:dyDescent="0.2">
      <c r="A8" s="11" t="s">
        <v>5</v>
      </c>
      <c r="B8" s="101">
        <f>'Income Statements'!B16/'Income Statements'!B6</f>
        <v>7.4166092089061456E-2</v>
      </c>
      <c r="C8" s="101">
        <f>'Income Statements'!C16/'Income Statements'!C6</f>
        <v>5.5195494531231189E-2</v>
      </c>
      <c r="D8" s="101">
        <f>'Income Statements'!D16/'Income Statements'!D6</f>
        <v>0.14271137039591617</v>
      </c>
      <c r="E8" s="101">
        <f>'Income Statements'!E16/'Income Statements'!E6</f>
        <v>0.15067587344763142</v>
      </c>
      <c r="F8" s="101">
        <f>'Income Statements'!F16/'Income Statements'!F6</f>
        <v>5.6226029982033847E-2</v>
      </c>
      <c r="G8" s="101">
        <f>'Income Statements'!G16/'Income Statements'!G6</f>
        <v>0.10241976761501236</v>
      </c>
      <c r="H8" s="101">
        <f>'Income Statements'!H16/'Income Statements'!H6</f>
        <v>9.6011581131586726E-2</v>
      </c>
      <c r="I8" s="105">
        <f>AVERAGE(B8:H8)</f>
        <v>9.6772315598924741E-2</v>
      </c>
      <c r="J8" s="105">
        <f>AVERAGE(G8:H8)</f>
        <v>9.9215674373299534E-2</v>
      </c>
    </row>
    <row r="9" spans="1:10" x14ac:dyDescent="0.2">
      <c r="A9" s="11" t="s">
        <v>6</v>
      </c>
      <c r="B9" s="102">
        <f>'Income Statements'!B6/'Balance Sheets'!B19</f>
        <v>1.5146116492581867</v>
      </c>
      <c r="C9" s="102">
        <f>'Income Statements'!C6/'Balance Sheets'!C19</f>
        <v>1.4514335092821891</v>
      </c>
      <c r="D9" s="102">
        <f>'Income Statements'!D6/'Balance Sheets'!D19</f>
        <v>1.4811692831180883</v>
      </c>
      <c r="E9" s="102">
        <f>'Income Statements'!E6/'Balance Sheets'!E19</f>
        <v>1.2869712978536325</v>
      </c>
      <c r="F9" s="102">
        <f>'Income Statements'!F6/'Balance Sheets'!F19</f>
        <v>1.481495033735309</v>
      </c>
      <c r="G9" s="102">
        <f>'Income Statements'!G6/'Balance Sheets'!G19</f>
        <v>1.2786950582488945</v>
      </c>
      <c r="H9" s="102">
        <f>'Income Statements'!H6/'Balance Sheets'!H19</f>
        <v>1.4227855876590054</v>
      </c>
      <c r="I9" s="106">
        <f>AVERAGE(B9:H9)</f>
        <v>1.4167373455936152</v>
      </c>
      <c r="J9" s="106">
        <f>AVERAGE(G9:H9)</f>
        <v>1.3507403229539499</v>
      </c>
    </row>
    <row r="10" spans="1:10" x14ac:dyDescent="0.2">
      <c r="A10" s="11" t="s">
        <v>7</v>
      </c>
      <c r="B10" s="102">
        <f>'Balance Sheets'!B19/'Balance Sheets'!B44</f>
        <v>17.7492319906113</v>
      </c>
      <c r="C10" s="102">
        <f>'Balance Sheets'!C19/'Balance Sheets'!C44</f>
        <v>5.1599442645793205</v>
      </c>
      <c r="D10" s="102">
        <f>'Balance Sheets'!D19/'Balance Sheets'!D44</f>
        <v>2.555551317878912</v>
      </c>
      <c r="E10" s="102">
        <f>'Balance Sheets'!E19/'Balance Sheets'!E44</f>
        <v>2.1172562825521464</v>
      </c>
      <c r="F10" s="102">
        <f>'Balance Sheets'!F19/'Balance Sheets'!F44</f>
        <v>2.0452270469555174</v>
      </c>
      <c r="G10" s="102">
        <f>'Balance Sheets'!G19/'Balance Sheets'!G44</f>
        <v>1.7926673207943506</v>
      </c>
      <c r="H10" s="102">
        <f>'Balance Sheets'!H19/'Balance Sheets'!H44</f>
        <v>1.7377487309267443</v>
      </c>
      <c r="I10" s="106">
        <f>AVERAGE(B10:H10)</f>
        <v>4.7368038506140424</v>
      </c>
      <c r="J10" s="106">
        <f>AVERAGE(G10:H10)</f>
        <v>1.7652080258605474</v>
      </c>
    </row>
    <row r="11" spans="1:10" x14ac:dyDescent="0.2">
      <c r="A11" s="11" t="s">
        <v>8</v>
      </c>
      <c r="B11" s="101">
        <f>B8*B9</f>
        <v>0.11233282705804792</v>
      </c>
      <c r="C11" s="101">
        <f t="shared" ref="C11:H11" si="0">C8*C9</f>
        <v>8.0112590324030758E-2</v>
      </c>
      <c r="D11" s="101">
        <f t="shared" si="0"/>
        <v>0.2113796981821191</v>
      </c>
      <c r="E11" s="101">
        <f t="shared" si="0"/>
        <v>0.19391552440612789</v>
      </c>
      <c r="F11" s="101">
        <f t="shared" si="0"/>
        <v>8.3298584185035732E-2</v>
      </c>
      <c r="G11" s="101">
        <f t="shared" si="0"/>
        <v>0.13096365071631647</v>
      </c>
      <c r="H11" s="101">
        <f t="shared" si="0"/>
        <v>0.1366038938823749</v>
      </c>
      <c r="I11" s="105">
        <f>AVERAGE(B11:H11)</f>
        <v>0.13551525267915041</v>
      </c>
      <c r="J11" s="105">
        <f>AVERAGE(G11:H11)</f>
        <v>0.13378377229934568</v>
      </c>
    </row>
    <row r="12" spans="1:10" x14ac:dyDescent="0.2">
      <c r="A12" s="11" t="s">
        <v>9</v>
      </c>
      <c r="B12" s="101">
        <f>B8*B9*B10</f>
        <v>1.9938214076145109</v>
      </c>
      <c r="C12" s="101">
        <f t="shared" ref="C12:H12" si="1">C8*C9*C10</f>
        <v>0.41337650096307527</v>
      </c>
      <c r="D12" s="101">
        <f t="shared" si="1"/>
        <v>0.54019166626216109</v>
      </c>
      <c r="E12" s="101">
        <f t="shared" si="1"/>
        <v>0.41056886233326834</v>
      </c>
      <c r="F12" s="101">
        <f t="shared" si="1"/>
        <v>0.17036451734833619</v>
      </c>
      <c r="G12" s="101">
        <f t="shared" si="1"/>
        <v>0.23477425685106618</v>
      </c>
      <c r="H12" s="101">
        <f t="shared" si="1"/>
        <v>0.23738324323374863</v>
      </c>
      <c r="I12" s="105">
        <f>AVERAGE(B12:H12)</f>
        <v>0.57149720780088098</v>
      </c>
      <c r="J12" s="105">
        <f>AVERAGE(G12:H12)</f>
        <v>0.23607875004240741</v>
      </c>
    </row>
    <row r="14" spans="1:10" x14ac:dyDescent="0.2">
      <c r="A14" s="10" t="s">
        <v>10</v>
      </c>
    </row>
    <row r="15" spans="1:10" x14ac:dyDescent="0.2">
      <c r="A15" s="11" t="s">
        <v>11</v>
      </c>
      <c r="B15" s="101">
        <f>'Income Statements'!B8/'Income Statements'!B6</f>
        <v>0.49192574017793289</v>
      </c>
      <c r="C15" s="101">
        <f>'Income Statements'!C8/'Income Statements'!C6</f>
        <v>0.52018858880155494</v>
      </c>
      <c r="D15" s="101">
        <f>'Income Statements'!D8/'Income Statements'!D6</f>
        <v>0.57597408128999994</v>
      </c>
      <c r="E15" s="101">
        <f>'Income Statements'!E8/'Income Statements'!E6</f>
        <v>0.57839784718378384</v>
      </c>
      <c r="F15" s="101">
        <f>'Income Statements'!F8/'Income Statements'!F6</f>
        <v>0.4785547089997505</v>
      </c>
      <c r="G15" s="101">
        <f>'Income Statements'!G8/'Income Statements'!G6</f>
        <v>0.56862519314673488</v>
      </c>
      <c r="H15" s="101">
        <f>'Income Statements'!H8/'Income Statements'!H6</f>
        <v>0.58106983380813859</v>
      </c>
      <c r="I15" s="105">
        <f>AVERAGE(B15:H15)</f>
        <v>0.5421051419154137</v>
      </c>
      <c r="J15" s="105">
        <f>AVERAGE(G15:H15)</f>
        <v>0.57484751347743668</v>
      </c>
    </row>
    <row r="16" spans="1:10" x14ac:dyDescent="0.2">
      <c r="A16" s="11" t="s">
        <v>12</v>
      </c>
      <c r="B16" s="101">
        <f>'Income Statements'!B11/'Income Statements'!B6</f>
        <v>0.13116547449838412</v>
      </c>
      <c r="C16" s="101">
        <f>'Income Statements'!C11/'Income Statements'!C6</f>
        <v>9.8246316761770924E-2</v>
      </c>
      <c r="D16" s="101">
        <f>'Income Statements'!D11/'Income Statements'!D6</f>
        <v>0.19623420269464451</v>
      </c>
      <c r="E16" s="101">
        <f>'Income Statements'!E11/'Income Statements'!E6</f>
        <v>0.194854814601673</v>
      </c>
      <c r="F16" s="101">
        <f>'Income Statements'!F11/'Income Statements'!F6</f>
        <v>7.9212172349679227E-2</v>
      </c>
      <c r="G16" s="101">
        <f>'Income Statements'!G11/'Income Statements'!G6</f>
        <v>0.13592345390673372</v>
      </c>
      <c r="H16" s="101">
        <f>'Income Statements'!H11/'Income Statements'!H6</f>
        <v>0.13409455191699096</v>
      </c>
      <c r="I16" s="105">
        <f>AVERAGE(B16:H16)</f>
        <v>0.13853299810426806</v>
      </c>
      <c r="J16" s="105">
        <f>AVERAGE(G16:H16)</f>
        <v>0.13500900291186235</v>
      </c>
    </row>
    <row r="17" spans="1:15" x14ac:dyDescent="0.2">
      <c r="A17" s="11" t="s">
        <v>13</v>
      </c>
      <c r="B17" s="101">
        <f>'Income Statements'!B14/'Income Statements'!B6</f>
        <v>8.9383731814137307E-2</v>
      </c>
      <c r="C17" s="101">
        <f>'Income Statements'!C14/'Income Statements'!C6</f>
        <v>7.3607855240146472E-2</v>
      </c>
      <c r="D17" s="101">
        <f>'Income Statements'!D14/'Income Statements'!D6</f>
        <v>0.18796102667256562</v>
      </c>
      <c r="E17" s="101">
        <f>'Income Statements'!E14/'Income Statements'!E6</f>
        <v>0.19022827250956598</v>
      </c>
      <c r="F17" s="101">
        <f>'Income Statements'!F14/'Income Statements'!F6</f>
        <v>7.2828107937327843E-2</v>
      </c>
      <c r="G17" s="101">
        <f>'Income Statements'!G14/'Income Statements'!G6</f>
        <v>0.13621765790706408</v>
      </c>
      <c r="H17" s="101">
        <f>'Income Statements'!H14/'Income Statements'!H6</f>
        <v>0.12724817514658121</v>
      </c>
      <c r="I17" s="105">
        <f>AVERAGE(B17:H17)</f>
        <v>0.12535354674676977</v>
      </c>
      <c r="J17" s="105">
        <f>AVERAGE(G17:H17)</f>
        <v>0.13173291652682265</v>
      </c>
    </row>
    <row r="18" spans="1:15" x14ac:dyDescent="0.2">
      <c r="A18" s="11" t="s">
        <v>14</v>
      </c>
      <c r="B18" s="101">
        <f>'Income Statements'!B16/'Income Statements'!B6</f>
        <v>7.4166092089061456E-2</v>
      </c>
      <c r="C18" s="101">
        <f>'Income Statements'!C16/'Income Statements'!C6</f>
        <v>5.5195494531231189E-2</v>
      </c>
      <c r="D18" s="101">
        <f>'Income Statements'!D16/'Income Statements'!D6</f>
        <v>0.14271137039591617</v>
      </c>
      <c r="E18" s="101">
        <f>'Income Statements'!E16/'Income Statements'!E6</f>
        <v>0.15067587344763142</v>
      </c>
      <c r="F18" s="101">
        <f>'Income Statements'!F16/'Income Statements'!F6</f>
        <v>5.6226029982033847E-2</v>
      </c>
      <c r="G18" s="101">
        <f>'Income Statements'!G16/'Income Statements'!G6</f>
        <v>0.10241976761501236</v>
      </c>
      <c r="H18" s="101">
        <f>'Income Statements'!H16/'Income Statements'!H6</f>
        <v>9.6011581131586726E-2</v>
      </c>
      <c r="I18" s="105">
        <f>AVERAGE(B18:H18)</f>
        <v>9.6772315598924741E-2</v>
      </c>
      <c r="J18" s="105">
        <f>AVERAGE(G18:H18)</f>
        <v>9.9215674373299534E-2</v>
      </c>
    </row>
    <row r="20" spans="1:15" x14ac:dyDescent="0.2">
      <c r="A20" s="10" t="s">
        <v>15</v>
      </c>
    </row>
    <row r="21" spans="1:15" x14ac:dyDescent="0.2">
      <c r="A21" s="11" t="s">
        <v>16</v>
      </c>
      <c r="B21" s="88" t="s">
        <v>58</v>
      </c>
      <c r="C21" s="102">
        <f>'Income Statements'!C6/'Balance Sheets'!C6</f>
        <v>12.868043037404236</v>
      </c>
      <c r="D21" s="102">
        <f>'Income Statements'!D6/'Balance Sheets'!D6</f>
        <v>14.742527261064785</v>
      </c>
      <c r="E21" s="102">
        <f>'Income Statements'!E6/'Balance Sheets'!E6</f>
        <v>16.130473800636764</v>
      </c>
      <c r="F21" s="102">
        <f>'Income Statements'!F6/'Balance Sheets'!F6</f>
        <v>16.882799932266533</v>
      </c>
      <c r="G21" s="102">
        <f>'Income Statements'!G6/'Balance Sheets'!G6</f>
        <v>18.932918616596279</v>
      </c>
      <c r="H21" s="102">
        <f>'Income Statements'!H6/'Balance Sheets'!H6</f>
        <v>16.946092867329739</v>
      </c>
      <c r="I21" s="106">
        <f>AVERAGE(B21:H21)</f>
        <v>16.083809252549724</v>
      </c>
      <c r="J21" s="106">
        <f>AVERAGE(G21:H21)</f>
        <v>17.939505741963011</v>
      </c>
    </row>
    <row r="22" spans="1:15" x14ac:dyDescent="0.2">
      <c r="A22" s="11" t="s">
        <v>17</v>
      </c>
      <c r="B22" s="88" t="s">
        <v>58</v>
      </c>
      <c r="C22" s="102">
        <f>'Income Statements'!C8/'Balance Sheets'!C8</f>
        <v>2.8709210776660035</v>
      </c>
      <c r="D22" s="102">
        <f>'Income Statements'!D8/'Balance Sheets'!D8</f>
        <v>3.8599249258005406</v>
      </c>
      <c r="E22" s="102">
        <f>'Income Statements'!E8/'Balance Sheets'!E8</f>
        <v>3.5562416253608586</v>
      </c>
      <c r="F22" s="102">
        <f>'Income Statements'!F8/'Balance Sheets'!F8</f>
        <v>2.2118717730299187</v>
      </c>
      <c r="G22" s="102">
        <f>'Income Statements'!G8/'Balance Sheets'!G8</f>
        <v>2.6620360701080976</v>
      </c>
      <c r="H22" s="102">
        <f>'Income Statements'!H8/'Balance Sheets'!H8</f>
        <v>3.2854622365457171</v>
      </c>
      <c r="I22" s="106">
        <f>AVERAGE(C22:H22)</f>
        <v>3.074409618085189</v>
      </c>
      <c r="J22" s="106">
        <f>AVERAGE(G22:H22)</f>
        <v>2.9737491533269074</v>
      </c>
    </row>
    <row r="23" spans="1:15" x14ac:dyDescent="0.2">
      <c r="A23" s="11" t="s">
        <v>18</v>
      </c>
      <c r="B23" s="88" t="s">
        <v>58</v>
      </c>
      <c r="C23" s="102">
        <f>'Income Statements'!C6/'Balance Sheets'!C18</f>
        <v>3.7587372889722577</v>
      </c>
      <c r="D23" s="102">
        <f>'Income Statements'!D6/'Balance Sheets'!D18</f>
        <v>4.123109286542463</v>
      </c>
      <c r="E23" s="102">
        <f>'Income Statements'!E6/'Balance Sheets'!E18</f>
        <v>10.459285560736232</v>
      </c>
      <c r="F23" s="102">
        <f>'Income Statements'!F6/'Balance Sheets'!F18</f>
        <v>8.6913896387990661</v>
      </c>
      <c r="G23" s="102">
        <f>'Income Statements'!G6/'Balance Sheets'!G18</f>
        <v>4.4791826440121412</v>
      </c>
      <c r="H23" s="102">
        <f>'Income Statements'!H6/'Balance Sheets'!H18</f>
        <v>4.3457639516423026</v>
      </c>
      <c r="I23" s="106">
        <f>AVERAGE(B23:H23)</f>
        <v>5.9762447284507436</v>
      </c>
      <c r="J23" s="106">
        <f>AVERAGE(G23:H23)</f>
        <v>4.4124732978272219</v>
      </c>
      <c r="N23" t="s">
        <v>130</v>
      </c>
      <c r="O23" t="s">
        <v>129</v>
      </c>
    </row>
    <row r="25" spans="1:15" x14ac:dyDescent="0.2">
      <c r="A25" s="10" t="s">
        <v>19</v>
      </c>
    </row>
    <row r="26" spans="1:15" x14ac:dyDescent="0.2">
      <c r="A26" s="11" t="s">
        <v>20</v>
      </c>
      <c r="B26" s="103">
        <f>'Balance Sheets'!B35/'Balance Sheets'!B19</f>
        <v>0.94365953408412462</v>
      </c>
      <c r="C26" s="103">
        <f>'Balance Sheets'!C35/'Balance Sheets'!C19</f>
        <v>0.80619945706302554</v>
      </c>
      <c r="D26" s="103">
        <f>'Balance Sheets'!D35/'Balance Sheets'!D19</f>
        <v>0.60869500330363457</v>
      </c>
      <c r="E26" s="103">
        <f>'Balance Sheets'!E35/'Balance Sheets'!E19</f>
        <v>0.52769062099813568</v>
      </c>
      <c r="F26" s="103">
        <f>'Balance Sheets'!F35/'Balance Sheets'!F19</f>
        <v>0.51105673011288444</v>
      </c>
      <c r="G26" s="103">
        <f>'Balance Sheets'!G35/'Balance Sheets'!G19</f>
        <v>0.44217201462852068</v>
      </c>
      <c r="H26" s="103">
        <f>'Balance Sheets'!H35/'Balance Sheets'!H19</f>
        <v>0.42454281093521601</v>
      </c>
      <c r="I26" s="107">
        <f>AVERAGE(B26:H26)</f>
        <v>0.60914516730364887</v>
      </c>
      <c r="J26" s="107">
        <f>AVERAGE(G26:H26)</f>
        <v>0.43335741278186835</v>
      </c>
    </row>
    <row r="27" spans="1:15" x14ac:dyDescent="0.2">
      <c r="A27" s="11" t="s">
        <v>21</v>
      </c>
      <c r="B27" s="103">
        <f>'Balance Sheets'!B33/'Balance Sheets'!B44</f>
        <v>10.282834558696628</v>
      </c>
      <c r="C27" s="103">
        <f>'Balance Sheets'!C33/'Balance Sheets'!C44</f>
        <v>2.7640014753493709</v>
      </c>
      <c r="D27" s="103">
        <f>'Balance Sheets'!D33/'Balance Sheets'!D44</f>
        <v>0.55783619607652779</v>
      </c>
      <c r="E27" s="103">
        <f>'Balance Sheets'!E33/'Balance Sheets'!E44</f>
        <v>0.33762115626381989</v>
      </c>
      <c r="F27" s="103">
        <f>'Balance Sheets'!F33/'Balance Sheets'!F44</f>
        <v>0.26828902307223296</v>
      </c>
      <c r="G27" s="103">
        <f>'Balance Sheets'!G33/'Balance Sheets'!G44</f>
        <v>0.24215945053274554</v>
      </c>
      <c r="H27" s="103">
        <f>'Balance Sheets'!H33/'Balance Sheets'!H44</f>
        <v>0.2249796313235789</v>
      </c>
      <c r="I27" s="107">
        <f>AVERAGE(B27:H27)</f>
        <v>2.0968173559021293</v>
      </c>
      <c r="J27" s="107">
        <f>AVERAGE(G27:H27)</f>
        <v>0.23356954092816223</v>
      </c>
    </row>
    <row r="29" spans="1:15" x14ac:dyDescent="0.2">
      <c r="A29" s="10" t="s">
        <v>22</v>
      </c>
    </row>
    <row r="30" spans="1:15" x14ac:dyDescent="0.2">
      <c r="A30" s="11" t="s">
        <v>23</v>
      </c>
      <c r="B30" s="103">
        <f>'Balance Sheets'!B10/'Balance Sheets'!B28</f>
        <v>1.5854391527613192</v>
      </c>
      <c r="C30" s="103">
        <f>'Balance Sheets'!C10/'Balance Sheets'!C28</f>
        <v>2.1169794259946451</v>
      </c>
      <c r="D30" s="103">
        <f>'Balance Sheets'!D10/'Balance Sheets'!D28</f>
        <v>1.6558891294451259</v>
      </c>
      <c r="E30" s="103">
        <f>'Balance Sheets'!E10/'Balance Sheets'!E28</f>
        <v>2.6928238624963772</v>
      </c>
      <c r="F30" s="103">
        <f>'Balance Sheets'!F10/'Balance Sheets'!F28</f>
        <v>1.7575787209074907</v>
      </c>
      <c r="G30" s="103">
        <f>'Balance Sheets'!G10/'Balance Sheets'!G28</f>
        <v>2.2954640733219027</v>
      </c>
      <c r="H30" s="103">
        <f>'Balance Sheets'!H10/'Balance Sheets'!H28</f>
        <v>2.1785435726632656</v>
      </c>
      <c r="I30" s="107">
        <f>AVERAGE(B30:H30)</f>
        <v>2.0403882767985895</v>
      </c>
      <c r="J30" s="107">
        <f>AVERAGE(G30:H30)</f>
        <v>2.2370038229925839</v>
      </c>
    </row>
    <row r="31" spans="1:15" x14ac:dyDescent="0.2">
      <c r="A31" s="11" t="s">
        <v>24</v>
      </c>
      <c r="B31" s="104">
        <f>('Balance Sheets'!B10-'Balance Sheets'!B7)/'Balance Sheets'!B28</f>
        <v>0.8091791307689844</v>
      </c>
      <c r="C31" s="104">
        <f>('Balance Sheets'!C10-'Balance Sheets'!C7)/'Balance Sheets'!C28</f>
        <v>1.0266276011085538</v>
      </c>
      <c r="D31" s="104">
        <f>('Balance Sheets'!D10-'Balance Sheets'!D7)/'Balance Sheets'!D28</f>
        <v>1.1689851577187855</v>
      </c>
      <c r="E31" s="104">
        <f>('Balance Sheets'!E10-'Balance Sheets'!E7)/'Balance Sheets'!E28</f>
        <v>1.9029954447837945</v>
      </c>
      <c r="F31" s="104">
        <f>('Balance Sheets'!F10-'Balance Sheets'!F7)/'Balance Sheets'!F28</f>
        <v>0.84956972423234889</v>
      </c>
      <c r="G31" s="104">
        <f>('Balance Sheets'!G10-'Balance Sheets'!G7)/'Balance Sheets'!G28</f>
        <v>1.4489585869818979</v>
      </c>
      <c r="H31" s="104">
        <f>('Balance Sheets'!H10-'Balance Sheets'!H7)/'Balance Sheets'!H28</f>
        <v>1.3615350562839916</v>
      </c>
      <c r="I31" s="106">
        <f>AVERAGE(B31:H31)</f>
        <v>1.2239786716969081</v>
      </c>
      <c r="J31" s="106">
        <f>AVERAGE(G31:H31)</f>
        <v>1.4052468216329448</v>
      </c>
    </row>
  </sheetData>
  <mergeCells count="1">
    <mergeCell ref="B5:G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1305-3EE1-4285-BA37-1DE537553D53}">
  <dimension ref="A1:H23"/>
  <sheetViews>
    <sheetView zoomScale="168" workbookViewId="0">
      <selection activeCell="B7" sqref="B7"/>
    </sheetView>
  </sheetViews>
  <sheetFormatPr baseColWidth="10" defaultColWidth="8.83203125" defaultRowHeight="15" x14ac:dyDescent="0.2"/>
  <cols>
    <col min="1" max="1" width="48.5" customWidth="1"/>
    <col min="2" max="2" width="17" customWidth="1"/>
    <col min="3" max="4" width="16.33203125" customWidth="1"/>
    <col min="5" max="5" width="15.6640625" customWidth="1"/>
    <col min="6" max="6" width="15.1640625" customWidth="1"/>
    <col min="7" max="7" width="14.5" customWidth="1"/>
    <col min="8" max="8" width="16" customWidth="1"/>
  </cols>
  <sheetData>
    <row r="1" spans="1:8" ht="19.5" customHeight="1" x14ac:dyDescent="0.25">
      <c r="A1" s="8" t="s">
        <v>82</v>
      </c>
    </row>
    <row r="2" spans="1:8" ht="12" customHeight="1" x14ac:dyDescent="0.2">
      <c r="A2" s="72"/>
    </row>
    <row r="3" spans="1:8" ht="15" customHeight="1" x14ac:dyDescent="0.2">
      <c r="A3" s="111" t="s">
        <v>91</v>
      </c>
      <c r="B3" s="111"/>
      <c r="C3" s="111"/>
      <c r="D3" s="111"/>
      <c r="E3" s="111"/>
      <c r="F3" s="111"/>
      <c r="G3" s="111"/>
      <c r="H3" s="111"/>
    </row>
    <row r="4" spans="1:8" ht="15" customHeight="1" x14ac:dyDescent="0.2">
      <c r="A4" s="112"/>
      <c r="B4" s="73">
        <v>2018</v>
      </c>
      <c r="C4" s="73">
        <v>2019</v>
      </c>
      <c r="D4" s="73">
        <v>2020</v>
      </c>
      <c r="E4" s="73">
        <v>2021</v>
      </c>
      <c r="F4" s="73">
        <v>2022</v>
      </c>
      <c r="G4" s="73">
        <v>2023</v>
      </c>
      <c r="H4" s="73">
        <v>2024</v>
      </c>
    </row>
    <row r="5" spans="1:8" ht="15" customHeight="1" x14ac:dyDescent="0.2">
      <c r="A5" s="75" t="s">
        <v>92</v>
      </c>
      <c r="B5" s="74"/>
      <c r="C5" s="74"/>
      <c r="E5" s="76" t="s">
        <v>2</v>
      </c>
      <c r="F5" s="76" t="s">
        <v>2</v>
      </c>
      <c r="G5" s="76" t="s">
        <v>2</v>
      </c>
      <c r="H5" s="76" t="s">
        <v>2</v>
      </c>
    </row>
    <row r="6" spans="1:8" ht="15" customHeight="1" x14ac:dyDescent="0.2">
      <c r="A6" s="77" t="s">
        <v>60</v>
      </c>
      <c r="B6" s="91">
        <v>778833</v>
      </c>
      <c r="C6" s="79">
        <v>913734</v>
      </c>
      <c r="D6" s="78">
        <v>1091721</v>
      </c>
      <c r="E6" s="90">
        <v>1410989</v>
      </c>
      <c r="F6" s="78">
        <v>1595222</v>
      </c>
      <c r="G6" s="78">
        <v>1658713</v>
      </c>
      <c r="H6" s="90">
        <v>1829873</v>
      </c>
    </row>
    <row r="7" spans="1:8" ht="15" customHeight="1" x14ac:dyDescent="0.2">
      <c r="A7" s="77" t="s">
        <v>93</v>
      </c>
      <c r="B7" s="92">
        <v>395705</v>
      </c>
      <c r="C7" s="79">
        <v>438420</v>
      </c>
      <c r="D7" s="79">
        <v>462918</v>
      </c>
      <c r="E7" s="90">
        <v>594876</v>
      </c>
      <c r="F7" s="79">
        <v>831821</v>
      </c>
      <c r="G7" s="79">
        <v>715527</v>
      </c>
      <c r="H7" s="90">
        <v>766589</v>
      </c>
    </row>
    <row r="8" spans="1:8" ht="15" customHeight="1" x14ac:dyDescent="0.2">
      <c r="A8" s="77" t="s">
        <v>61</v>
      </c>
      <c r="B8" s="91">
        <v>383128</v>
      </c>
      <c r="C8">
        <v>475314</v>
      </c>
      <c r="D8" s="79">
        <v>628803</v>
      </c>
      <c r="E8" s="90">
        <v>816113</v>
      </c>
      <c r="F8" s="79">
        <v>763401</v>
      </c>
      <c r="G8" s="79">
        <v>943186</v>
      </c>
      <c r="H8" s="90">
        <v>1063284</v>
      </c>
    </row>
    <row r="9" spans="1:8" ht="15" customHeight="1" x14ac:dyDescent="0.2">
      <c r="A9" s="80" t="s">
        <v>62</v>
      </c>
      <c r="B9" s="93"/>
      <c r="C9" s="81"/>
      <c r="D9" s="77"/>
      <c r="E9" s="90"/>
      <c r="F9" s="77"/>
      <c r="G9" s="77"/>
      <c r="H9" s="90"/>
    </row>
    <row r="10" spans="1:8" ht="15" customHeight="1" x14ac:dyDescent="0.2">
      <c r="A10" s="77" t="s">
        <v>85</v>
      </c>
      <c r="B10" s="91">
        <v>280972</v>
      </c>
      <c r="C10" s="79">
        <v>385543</v>
      </c>
      <c r="D10" s="79">
        <v>414570</v>
      </c>
      <c r="E10" s="90">
        <v>541175</v>
      </c>
      <c r="F10" s="79">
        <v>637040</v>
      </c>
      <c r="G10" s="79">
        <v>717728</v>
      </c>
      <c r="H10" s="90">
        <v>817908</v>
      </c>
    </row>
    <row r="11" spans="1:8" ht="15" customHeight="1" x14ac:dyDescent="0.2">
      <c r="A11" s="77" t="s">
        <v>121</v>
      </c>
      <c r="B11" s="94">
        <v>102156</v>
      </c>
      <c r="C11" s="79">
        <v>89771</v>
      </c>
      <c r="D11" s="79">
        <v>214233</v>
      </c>
      <c r="E11" s="90">
        <v>274938</v>
      </c>
      <c r="F11" s="79">
        <v>126361</v>
      </c>
      <c r="G11" s="79">
        <v>225458</v>
      </c>
      <c r="H11" s="90">
        <v>245376</v>
      </c>
    </row>
    <row r="12" spans="1:8" ht="15" customHeight="1" x14ac:dyDescent="0.2">
      <c r="A12" s="77" t="s">
        <v>86</v>
      </c>
      <c r="B12" s="91">
        <v>-31280</v>
      </c>
      <c r="C12" s="79">
        <v>-21779</v>
      </c>
      <c r="D12" s="79">
        <v>-9155</v>
      </c>
      <c r="E12" s="90">
        <v>-3339</v>
      </c>
      <c r="F12" s="79">
        <v>-4466</v>
      </c>
      <c r="G12" s="79">
        <v>-942</v>
      </c>
      <c r="H12" s="90">
        <v>660</v>
      </c>
    </row>
    <row r="13" spans="1:8" ht="15" customHeight="1" x14ac:dyDescent="0.2">
      <c r="A13" s="77" t="s">
        <v>87</v>
      </c>
      <c r="B13" s="91">
        <v>-1261</v>
      </c>
      <c r="C13" s="79">
        <v>-734</v>
      </c>
      <c r="D13" s="79">
        <v>123</v>
      </c>
      <c r="E13" s="90">
        <v>-3189</v>
      </c>
      <c r="F13" s="79">
        <v>-5718</v>
      </c>
      <c r="G13" s="79">
        <v>1430</v>
      </c>
      <c r="H13" s="90">
        <v>-13188</v>
      </c>
    </row>
    <row r="14" spans="1:8" ht="15" customHeight="1" x14ac:dyDescent="0.2">
      <c r="A14" s="77" t="s">
        <v>122</v>
      </c>
      <c r="B14" s="91">
        <v>69615</v>
      </c>
      <c r="C14" s="79">
        <v>67258</v>
      </c>
      <c r="D14" s="79">
        <v>205201</v>
      </c>
      <c r="E14" s="90">
        <v>268410</v>
      </c>
      <c r="F14" s="79">
        <v>116177</v>
      </c>
      <c r="G14" s="79">
        <v>225946</v>
      </c>
      <c r="H14" s="90">
        <v>232848</v>
      </c>
    </row>
    <row r="15" spans="1:8" ht="15" customHeight="1" x14ac:dyDescent="0.2">
      <c r="A15" s="77" t="s">
        <v>88</v>
      </c>
      <c r="B15" s="91">
        <v>-11852</v>
      </c>
      <c r="C15" s="78">
        <v>-16824</v>
      </c>
      <c r="D15" s="78">
        <v>-494003</v>
      </c>
      <c r="E15" s="90">
        <v>-55808</v>
      </c>
      <c r="F15" s="78">
        <v>-26484</v>
      </c>
      <c r="G15" s="78">
        <v>-56061</v>
      </c>
      <c r="H15" s="90">
        <v>-57159</v>
      </c>
    </row>
    <row r="16" spans="1:8" ht="15" customHeight="1" x14ac:dyDescent="0.2">
      <c r="A16" s="77" t="s">
        <v>123</v>
      </c>
      <c r="B16" s="91">
        <v>57763</v>
      </c>
      <c r="C16" s="78">
        <v>50434</v>
      </c>
      <c r="D16" s="78">
        <v>155801</v>
      </c>
      <c r="E16" s="90">
        <v>212602</v>
      </c>
      <c r="F16" s="78">
        <v>89693</v>
      </c>
      <c r="G16" s="78">
        <v>169885</v>
      </c>
      <c r="H16" s="90">
        <v>175689</v>
      </c>
    </row>
    <row r="17" spans="1:8" ht="15" customHeight="1" x14ac:dyDescent="0.2">
      <c r="A17" s="80" t="s">
        <v>89</v>
      </c>
      <c r="B17" s="93"/>
      <c r="C17" s="81"/>
      <c r="D17" s="77"/>
      <c r="E17" s="89"/>
      <c r="F17" s="77"/>
      <c r="G17" s="77"/>
      <c r="H17" s="90"/>
    </row>
    <row r="18" spans="1:8" ht="15" customHeight="1" x14ac:dyDescent="0.2">
      <c r="A18" s="77" t="s">
        <v>63</v>
      </c>
      <c r="B18" s="91">
        <v>0.71</v>
      </c>
      <c r="C18" s="82">
        <v>0.59</v>
      </c>
      <c r="D18" s="82">
        <v>1.79</v>
      </c>
      <c r="E18" s="89">
        <v>2.4300000000000002</v>
      </c>
      <c r="F18" s="82">
        <v>1.04</v>
      </c>
      <c r="G18" s="82">
        <v>1.96</v>
      </c>
      <c r="H18" s="89">
        <v>2.0699999999999998</v>
      </c>
    </row>
    <row r="19" spans="1:8" ht="15" customHeight="1" x14ac:dyDescent="0.2">
      <c r="A19" s="77" t="s">
        <v>64</v>
      </c>
      <c r="B19" s="91">
        <v>0.69</v>
      </c>
      <c r="C19" s="82">
        <v>0.57999999999999996</v>
      </c>
      <c r="D19" s="82">
        <v>1.77</v>
      </c>
      <c r="E19" s="89">
        <v>2.4</v>
      </c>
      <c r="F19" s="82">
        <v>1.03</v>
      </c>
      <c r="G19" s="82">
        <v>1.94</v>
      </c>
      <c r="H19" s="89">
        <v>2.0499999999999998</v>
      </c>
    </row>
    <row r="20" spans="1:8" ht="15" customHeight="1" x14ac:dyDescent="0.2">
      <c r="A20" s="80" t="s">
        <v>90</v>
      </c>
      <c r="B20" s="93"/>
      <c r="C20" s="81"/>
      <c r="D20" s="77"/>
      <c r="E20" s="89"/>
      <c r="F20" s="77"/>
      <c r="G20" s="77"/>
      <c r="H20" s="90"/>
    </row>
    <row r="21" spans="1:8" ht="15" customHeight="1" x14ac:dyDescent="0.2">
      <c r="A21" s="77" t="s">
        <v>65</v>
      </c>
      <c r="B21" s="91">
        <v>81777</v>
      </c>
      <c r="C21" s="79">
        <v>85088</v>
      </c>
      <c r="D21" s="79">
        <v>86978</v>
      </c>
      <c r="E21" s="95">
        <v>87425</v>
      </c>
      <c r="F21" s="79">
        <v>86521</v>
      </c>
      <c r="G21" s="79">
        <v>86717</v>
      </c>
      <c r="H21" s="90">
        <v>84935</v>
      </c>
    </row>
    <row r="22" spans="1:8" ht="15" customHeight="1" x14ac:dyDescent="0.2">
      <c r="A22" s="77" t="s">
        <v>66</v>
      </c>
      <c r="B22" s="91">
        <v>83519</v>
      </c>
      <c r="C22" s="79">
        <v>86347</v>
      </c>
      <c r="D22" s="79">
        <v>87847</v>
      </c>
      <c r="E22" s="95">
        <v>88666</v>
      </c>
      <c r="F22" s="79">
        <v>87195</v>
      </c>
      <c r="G22" s="79">
        <v>87403</v>
      </c>
      <c r="H22" s="90">
        <v>85755</v>
      </c>
    </row>
    <row r="23" spans="1:8" ht="15" customHeight="1" x14ac:dyDescent="0.2">
      <c r="A23" s="74"/>
      <c r="B23" s="74"/>
      <c r="C23" s="74"/>
      <c r="D23" s="74"/>
      <c r="E23" s="74"/>
      <c r="F23" s="74"/>
      <c r="G23" s="74"/>
      <c r="H23" s="74"/>
    </row>
  </sheetData>
  <mergeCells count="2">
    <mergeCell ref="A3:A4"/>
    <mergeCell ref="B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EBB3-7F98-4621-A0DD-BEE7B0CFA060}">
  <dimension ref="A1:J63"/>
  <sheetViews>
    <sheetView zoomScale="164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L19" sqref="L19"/>
    </sheetView>
  </sheetViews>
  <sheetFormatPr baseColWidth="10" defaultColWidth="8.83203125" defaultRowHeight="15" x14ac:dyDescent="0.2"/>
  <cols>
    <col min="1" max="1" width="52" customWidth="1"/>
    <col min="2" max="2" width="13.83203125" customWidth="1"/>
    <col min="3" max="3" width="13.1640625" customWidth="1"/>
    <col min="4" max="4" width="13.83203125" customWidth="1"/>
    <col min="5" max="5" width="12.6640625" customWidth="1"/>
    <col min="6" max="6" width="15.33203125" customWidth="1"/>
    <col min="7" max="7" width="15.5" customWidth="1"/>
    <col min="8" max="8" width="12.6640625" customWidth="1"/>
    <col min="10" max="10" width="10" bestFit="1" customWidth="1"/>
  </cols>
  <sheetData>
    <row r="1" spans="1:8" ht="19" x14ac:dyDescent="0.25">
      <c r="A1" s="8" t="s">
        <v>83</v>
      </c>
      <c r="B1" s="113" t="s">
        <v>0</v>
      </c>
      <c r="C1" s="113"/>
      <c r="D1" s="113"/>
      <c r="E1" s="113"/>
      <c r="F1" s="113"/>
      <c r="G1" s="113"/>
      <c r="H1" s="113"/>
    </row>
    <row r="2" spans="1:8" ht="16" x14ac:dyDescent="0.2">
      <c r="A2" s="1" t="s">
        <v>113</v>
      </c>
      <c r="B2" s="73">
        <v>2018</v>
      </c>
      <c r="C2" s="73">
        <v>2019</v>
      </c>
      <c r="D2" s="73">
        <v>2020</v>
      </c>
      <c r="E2" s="73">
        <v>2021</v>
      </c>
      <c r="F2" s="73">
        <v>2022</v>
      </c>
      <c r="G2" s="73">
        <v>2023</v>
      </c>
      <c r="H2" s="73">
        <v>2024</v>
      </c>
    </row>
    <row r="3" spans="1:8" ht="16" x14ac:dyDescent="0.2">
      <c r="A3" s="2" t="s">
        <v>67</v>
      </c>
      <c r="G3" s="3" t="s">
        <v>2</v>
      </c>
      <c r="H3" t="s">
        <v>2</v>
      </c>
    </row>
    <row r="4" spans="1:8" ht="16" x14ac:dyDescent="0.2">
      <c r="A4" s="83" t="s">
        <v>94</v>
      </c>
      <c r="B4" s="97">
        <v>80051</v>
      </c>
      <c r="C4" s="97">
        <v>72515</v>
      </c>
      <c r="D4" s="97">
        <v>253283</v>
      </c>
      <c r="E4" s="97">
        <v>312189</v>
      </c>
      <c r="F4" s="97">
        <v>234741</v>
      </c>
      <c r="G4" s="97">
        <v>438960</v>
      </c>
      <c r="H4" s="90">
        <v>358795</v>
      </c>
    </row>
    <row r="5" spans="1:8" ht="16" x14ac:dyDescent="0.2">
      <c r="A5" s="83" t="s">
        <v>95</v>
      </c>
      <c r="B5" s="84">
        <v>59328</v>
      </c>
      <c r="C5" s="84">
        <v>82688</v>
      </c>
      <c r="D5" s="84">
        <v>65417</v>
      </c>
      <c r="E5" s="84">
        <v>109530</v>
      </c>
      <c r="F5" s="84">
        <v>79446</v>
      </c>
      <c r="G5" s="84">
        <v>95774</v>
      </c>
      <c r="H5" s="85">
        <v>120190</v>
      </c>
    </row>
    <row r="6" spans="1:8" ht="16" x14ac:dyDescent="0.2">
      <c r="A6" s="96" t="s">
        <v>125</v>
      </c>
      <c r="B6" s="84"/>
      <c r="C6" s="84">
        <f t="shared" ref="C6:H6" si="0">(C5+B5)/2</f>
        <v>71008</v>
      </c>
      <c r="D6" s="84">
        <f t="shared" si="0"/>
        <v>74052.5</v>
      </c>
      <c r="E6" s="84">
        <f t="shared" si="0"/>
        <v>87473.5</v>
      </c>
      <c r="F6" s="84">
        <f t="shared" si="0"/>
        <v>94488</v>
      </c>
      <c r="G6" s="84">
        <f t="shared" si="0"/>
        <v>87610</v>
      </c>
      <c r="H6" s="84">
        <f t="shared" si="0"/>
        <v>107982</v>
      </c>
    </row>
    <row r="7" spans="1:8" ht="16" x14ac:dyDescent="0.2">
      <c r="A7" s="83" t="s">
        <v>96</v>
      </c>
      <c r="B7" s="84">
        <v>145423</v>
      </c>
      <c r="C7" s="84">
        <v>185700</v>
      </c>
      <c r="D7" s="84">
        <v>140111</v>
      </c>
      <c r="E7" s="84">
        <v>318864</v>
      </c>
      <c r="F7" s="84">
        <v>371412</v>
      </c>
      <c r="G7" s="84">
        <v>337208</v>
      </c>
      <c r="H7" s="85">
        <v>310058</v>
      </c>
    </row>
    <row r="8" spans="1:8" ht="16" x14ac:dyDescent="0.2">
      <c r="A8" s="96" t="s">
        <v>120</v>
      </c>
      <c r="B8" s="98" t="s">
        <v>119</v>
      </c>
      <c r="C8" s="99">
        <f t="shared" ref="C8:H8" si="1">(C7+B7)/2</f>
        <v>165561.5</v>
      </c>
      <c r="D8" s="99">
        <f t="shared" si="1"/>
        <v>162905.5</v>
      </c>
      <c r="E8" s="99">
        <f t="shared" si="1"/>
        <v>229487.5</v>
      </c>
      <c r="F8" s="99">
        <f t="shared" si="1"/>
        <v>345138</v>
      </c>
      <c r="G8" s="99">
        <f t="shared" si="1"/>
        <v>354310</v>
      </c>
      <c r="H8" s="99">
        <f t="shared" si="1"/>
        <v>323633</v>
      </c>
    </row>
    <row r="9" spans="1:8" ht="16" x14ac:dyDescent="0.2">
      <c r="A9" s="83" t="s">
        <v>97</v>
      </c>
      <c r="B9" s="84">
        <v>12211</v>
      </c>
      <c r="C9" s="84">
        <v>19644</v>
      </c>
      <c r="D9" s="84">
        <v>17686</v>
      </c>
      <c r="E9" s="84">
        <v>29584</v>
      </c>
      <c r="F9" s="84">
        <v>33321</v>
      </c>
      <c r="G9" s="84">
        <v>42463</v>
      </c>
      <c r="H9" s="85">
        <v>37723</v>
      </c>
    </row>
    <row r="10" spans="1:8" ht="16" x14ac:dyDescent="0.2">
      <c r="A10" s="96" t="s">
        <v>108</v>
      </c>
      <c r="B10" s="99">
        <v>297013</v>
      </c>
      <c r="C10" s="99">
        <v>360547</v>
      </c>
      <c r="D10" s="99">
        <v>476497</v>
      </c>
      <c r="E10" s="99">
        <f>SUM(E4:E9)</f>
        <v>1087128</v>
      </c>
      <c r="F10" s="99">
        <v>718920</v>
      </c>
      <c r="G10" s="99">
        <v>914405</v>
      </c>
      <c r="H10" s="100">
        <v>826766</v>
      </c>
    </row>
    <row r="11" spans="1:8" ht="16" x14ac:dyDescent="0.2">
      <c r="A11" s="83" t="s">
        <v>68</v>
      </c>
      <c r="B11" s="84">
        <v>71097</v>
      </c>
      <c r="C11" s="84">
        <v>82610</v>
      </c>
      <c r="D11" s="84">
        <v>78075</v>
      </c>
      <c r="E11" s="84">
        <v>119044</v>
      </c>
      <c r="F11" s="84">
        <v>124587</v>
      </c>
      <c r="G11" s="84">
        <v>130714</v>
      </c>
      <c r="H11" s="85">
        <v>126270</v>
      </c>
    </row>
    <row r="12" spans="1:8" ht="16" x14ac:dyDescent="0.2">
      <c r="A12" s="83" t="s">
        <v>109</v>
      </c>
      <c r="B12" s="84"/>
      <c r="C12" s="84">
        <v>37768</v>
      </c>
      <c r="D12" s="84">
        <v>34090</v>
      </c>
      <c r="E12" s="84">
        <v>54971</v>
      </c>
      <c r="F12" s="84">
        <v>55406</v>
      </c>
      <c r="G12" s="84">
        <v>77556</v>
      </c>
      <c r="H12" s="86">
        <v>78279</v>
      </c>
    </row>
    <row r="13" spans="1:8" ht="16" x14ac:dyDescent="0.2">
      <c r="A13" s="83" t="s">
        <v>69</v>
      </c>
      <c r="B13" s="84">
        <v>54293</v>
      </c>
      <c r="C13" s="84">
        <v>51293</v>
      </c>
      <c r="D13" s="84">
        <v>54293</v>
      </c>
      <c r="E13" s="84">
        <v>54293</v>
      </c>
      <c r="F13" s="84">
        <v>54293</v>
      </c>
      <c r="G13" s="84">
        <v>54293</v>
      </c>
      <c r="H13" s="86">
        <v>72557</v>
      </c>
    </row>
    <row r="14" spans="1:8" ht="16" x14ac:dyDescent="0.2">
      <c r="A14" s="83" t="s">
        <v>98</v>
      </c>
      <c r="B14" s="84">
        <v>80019</v>
      </c>
      <c r="C14" s="84">
        <v>90850</v>
      </c>
      <c r="D14" s="84">
        <v>92078</v>
      </c>
      <c r="E14" s="84">
        <v>95314</v>
      </c>
      <c r="F14" s="84">
        <v>99429</v>
      </c>
      <c r="G14" s="84">
        <v>117629</v>
      </c>
      <c r="H14" s="85">
        <v>172023</v>
      </c>
    </row>
    <row r="15" spans="1:8" ht="16" x14ac:dyDescent="0.2">
      <c r="A15" s="83" t="s">
        <v>115</v>
      </c>
      <c r="B15" s="84">
        <v>7777</v>
      </c>
      <c r="C15" s="84">
        <v>1082</v>
      </c>
      <c r="D15" s="84">
        <v>1062</v>
      </c>
      <c r="E15" s="84"/>
      <c r="F15" s="84"/>
      <c r="G15" s="84"/>
      <c r="H15" s="85"/>
    </row>
    <row r="16" spans="1:8" ht="16" x14ac:dyDescent="0.2">
      <c r="A16" s="83" t="s">
        <v>116</v>
      </c>
      <c r="B16" s="84">
        <v>1014</v>
      </c>
      <c r="C16" s="84">
        <v>2389</v>
      </c>
      <c r="D16" s="84">
        <v>972</v>
      </c>
      <c r="E16" s="84">
        <v>2575</v>
      </c>
      <c r="F16" s="84">
        <v>24130</v>
      </c>
      <c r="G16" s="84">
        <v>2595</v>
      </c>
      <c r="H16" s="86">
        <v>10225</v>
      </c>
    </row>
    <row r="17" spans="1:10" ht="16" x14ac:dyDescent="0.2">
      <c r="A17" s="96" t="s">
        <v>126</v>
      </c>
      <c r="B17" s="84">
        <f>B19-B10</f>
        <v>217200</v>
      </c>
      <c r="C17" s="84">
        <f t="shared" ref="C17:H17" si="2">C19-C10</f>
        <v>268992</v>
      </c>
      <c r="D17" s="84">
        <f t="shared" si="2"/>
        <v>260570</v>
      </c>
      <c r="E17" s="84">
        <f t="shared" si="2"/>
        <v>9236</v>
      </c>
      <c r="F17" s="84">
        <f t="shared" si="2"/>
        <v>357845</v>
      </c>
      <c r="G17" s="84">
        <f t="shared" si="2"/>
        <v>382787</v>
      </c>
      <c r="H17" s="84">
        <f t="shared" si="2"/>
        <v>459354</v>
      </c>
    </row>
    <row r="18" spans="1:10" ht="16" x14ac:dyDescent="0.2">
      <c r="A18" s="96" t="s">
        <v>127</v>
      </c>
      <c r="B18" s="84"/>
      <c r="C18" s="84">
        <f t="shared" ref="C18:H18" si="3">(C17+B17)/2</f>
        <v>243096</v>
      </c>
      <c r="D18" s="84">
        <f t="shared" si="3"/>
        <v>264781</v>
      </c>
      <c r="E18" s="84">
        <f t="shared" si="3"/>
        <v>134903</v>
      </c>
      <c r="F18" s="84">
        <f t="shared" si="3"/>
        <v>183540.5</v>
      </c>
      <c r="G18" s="84">
        <f t="shared" si="3"/>
        <v>370316</v>
      </c>
      <c r="H18" s="84">
        <f t="shared" si="3"/>
        <v>421070.5</v>
      </c>
    </row>
    <row r="19" spans="1:10" ht="16" x14ac:dyDescent="0.2">
      <c r="A19" s="96" t="s">
        <v>70</v>
      </c>
      <c r="B19" s="99">
        <v>514213</v>
      </c>
      <c r="C19" s="99">
        <v>629539</v>
      </c>
      <c r="D19" s="99">
        <v>737067</v>
      </c>
      <c r="E19" s="99">
        <v>1096364</v>
      </c>
      <c r="F19" s="99">
        <v>1076765</v>
      </c>
      <c r="G19" s="99">
        <v>1297192</v>
      </c>
      <c r="H19" s="100">
        <v>1286120</v>
      </c>
    </row>
    <row r="20" spans="1:10" ht="16" x14ac:dyDescent="0.2">
      <c r="A20" s="96" t="s">
        <v>118</v>
      </c>
      <c r="B20" s="99" t="s">
        <v>119</v>
      </c>
      <c r="C20" s="99">
        <f t="shared" ref="C20:H20" si="4">(C19+B19)/2</f>
        <v>571876</v>
      </c>
      <c r="D20" s="99">
        <f t="shared" si="4"/>
        <v>683303</v>
      </c>
      <c r="E20" s="99">
        <f t="shared" si="4"/>
        <v>916715.5</v>
      </c>
      <c r="F20" s="99">
        <f t="shared" si="4"/>
        <v>1086564.5</v>
      </c>
      <c r="G20" s="99">
        <f t="shared" si="4"/>
        <v>1186978.5</v>
      </c>
      <c r="H20" s="99">
        <f t="shared" si="4"/>
        <v>1291656</v>
      </c>
    </row>
    <row r="21" spans="1:10" ht="16" x14ac:dyDescent="0.2">
      <c r="A21" s="87" t="s">
        <v>71</v>
      </c>
      <c r="B21" s="85"/>
      <c r="C21" s="85"/>
      <c r="D21" s="85"/>
      <c r="E21" s="85"/>
      <c r="G21" s="83"/>
      <c r="H21" s="85"/>
    </row>
    <row r="22" spans="1:10" ht="16" x14ac:dyDescent="0.2">
      <c r="A22" s="83" t="s">
        <v>72</v>
      </c>
      <c r="B22" s="84">
        <v>68737</v>
      </c>
      <c r="C22" s="84">
        <v>83823</v>
      </c>
      <c r="D22" s="84">
        <v>123621</v>
      </c>
      <c r="E22" s="84">
        <v>191319</v>
      </c>
      <c r="F22" s="85">
        <v>140818</v>
      </c>
      <c r="G22" s="84">
        <v>130392</v>
      </c>
      <c r="H22" s="85">
        <v>158499</v>
      </c>
    </row>
    <row r="23" spans="1:10" ht="16" x14ac:dyDescent="0.2">
      <c r="A23" s="83" t="s">
        <v>99</v>
      </c>
      <c r="B23" s="84">
        <v>53022</v>
      </c>
      <c r="C23" s="84">
        <v>42088</v>
      </c>
      <c r="D23" s="84">
        <v>89068</v>
      </c>
      <c r="E23" s="84">
        <v>132309</v>
      </c>
      <c r="F23" s="84">
        <v>211399</v>
      </c>
      <c r="G23" s="84">
        <v>130026</v>
      </c>
      <c r="H23" s="86">
        <v>128210</v>
      </c>
    </row>
    <row r="24" spans="1:10" ht="16" x14ac:dyDescent="0.2">
      <c r="A24" s="83" t="s">
        <v>100</v>
      </c>
      <c r="B24" s="85">
        <v>6390</v>
      </c>
      <c r="C24" s="84">
        <v>3329</v>
      </c>
      <c r="D24" s="84">
        <v>18316</v>
      </c>
      <c r="E24" s="84">
        <v>14514</v>
      </c>
      <c r="F24" s="84">
        <v>15289</v>
      </c>
      <c r="G24" s="85">
        <v>33489</v>
      </c>
      <c r="H24" s="85">
        <v>38089</v>
      </c>
    </row>
    <row r="25" spans="1:10" ht="16" x14ac:dyDescent="0.2">
      <c r="A25" s="83" t="s">
        <v>101</v>
      </c>
      <c r="B25" s="85">
        <v>15551</v>
      </c>
      <c r="C25" s="84">
        <v>18119</v>
      </c>
      <c r="D25" s="84">
        <v>25810</v>
      </c>
      <c r="E25" s="84">
        <v>30844</v>
      </c>
      <c r="F25" s="85">
        <v>4847</v>
      </c>
      <c r="G25" s="85">
        <v>23141</v>
      </c>
      <c r="H25" s="85">
        <v>28610</v>
      </c>
    </row>
    <row r="26" spans="1:10" ht="16" x14ac:dyDescent="0.2">
      <c r="A26" s="83" t="s">
        <v>102</v>
      </c>
      <c r="B26" s="85"/>
      <c r="C26" s="84">
        <v>7768</v>
      </c>
      <c r="D26" s="84">
        <v>8247</v>
      </c>
      <c r="E26" s="84">
        <v>10167</v>
      </c>
      <c r="F26" s="85">
        <v>120076</v>
      </c>
      <c r="G26" s="85">
        <v>14726</v>
      </c>
      <c r="H26" s="85">
        <v>19621</v>
      </c>
    </row>
    <row r="27" spans="1:10" ht="16" x14ac:dyDescent="0.2">
      <c r="A27" s="83" t="s">
        <v>103</v>
      </c>
      <c r="B27" s="85">
        <v>43638</v>
      </c>
      <c r="C27" s="84">
        <v>15185</v>
      </c>
      <c r="D27" s="84">
        <v>22697</v>
      </c>
      <c r="E27" s="84">
        <v>24560</v>
      </c>
      <c r="F27" s="85">
        <v>24611</v>
      </c>
      <c r="G27" s="85">
        <v>6579</v>
      </c>
      <c r="H27" s="85">
        <v>6475</v>
      </c>
    </row>
    <row r="28" spans="1:10" ht="16" x14ac:dyDescent="0.2">
      <c r="A28" s="96" t="s">
        <v>107</v>
      </c>
      <c r="B28" s="99">
        <v>187338</v>
      </c>
      <c r="C28" s="99">
        <v>170312</v>
      </c>
      <c r="D28" s="99">
        <v>287759</v>
      </c>
      <c r="E28" s="99">
        <v>403713</v>
      </c>
      <c r="F28" s="99">
        <v>409040</v>
      </c>
      <c r="G28" s="99">
        <v>398353</v>
      </c>
      <c r="H28" s="100">
        <v>379504</v>
      </c>
    </row>
    <row r="29" spans="1:10" ht="16" x14ac:dyDescent="0.2">
      <c r="A29" s="83" t="s">
        <v>104</v>
      </c>
      <c r="B29" s="84">
        <v>284376</v>
      </c>
      <c r="C29" s="84">
        <v>281715</v>
      </c>
      <c r="D29" s="84">
        <v>111017</v>
      </c>
      <c r="E29" s="84">
        <v>95741</v>
      </c>
      <c r="F29" s="84">
        <v>71741</v>
      </c>
      <c r="G29" s="84">
        <v>78645</v>
      </c>
      <c r="H29" s="86">
        <v>72821</v>
      </c>
    </row>
    <row r="30" spans="1:10" ht="16" x14ac:dyDescent="0.2">
      <c r="A30" s="83" t="s">
        <v>105</v>
      </c>
      <c r="B30" s="84"/>
      <c r="C30" s="84">
        <v>42200</v>
      </c>
      <c r="D30" s="84">
        <v>36546</v>
      </c>
      <c r="E30" s="84">
        <v>55940</v>
      </c>
      <c r="F30" s="84">
        <v>55649</v>
      </c>
      <c r="G30" s="84">
        <v>76163</v>
      </c>
      <c r="H30" s="85">
        <v>73586</v>
      </c>
      <c r="J30" s="30"/>
    </row>
    <row r="31" spans="1:10" ht="16" x14ac:dyDescent="0.2">
      <c r="A31" s="83" t="s">
        <v>73</v>
      </c>
      <c r="B31" s="84">
        <v>13528</v>
      </c>
      <c r="C31" s="84">
        <v>13307</v>
      </c>
      <c r="D31" s="84">
        <v>13327</v>
      </c>
      <c r="E31" s="84">
        <v>23147</v>
      </c>
      <c r="F31" s="84">
        <v>13858</v>
      </c>
      <c r="G31" s="84">
        <v>20421</v>
      </c>
      <c r="H31" s="85">
        <v>20102</v>
      </c>
    </row>
    <row r="32" spans="1:10" x14ac:dyDescent="0.2">
      <c r="A32" s="83"/>
      <c r="B32" s="84"/>
      <c r="C32" s="84"/>
      <c r="D32" s="84"/>
      <c r="E32" s="84"/>
      <c r="F32" s="84"/>
      <c r="G32" s="84"/>
      <c r="H32" s="85"/>
    </row>
    <row r="33" spans="1:8" ht="16" x14ac:dyDescent="0.2">
      <c r="A33" s="96" t="s">
        <v>117</v>
      </c>
      <c r="B33" s="99">
        <f>SUM(B29:B31)</f>
        <v>297904</v>
      </c>
      <c r="C33" s="99">
        <f t="shared" ref="C33:H33" si="5">SUM(C29:C31)</f>
        <v>337222</v>
      </c>
      <c r="D33" s="99">
        <f t="shared" si="5"/>
        <v>160890</v>
      </c>
      <c r="E33" s="99">
        <f t="shared" si="5"/>
        <v>174828</v>
      </c>
      <c r="F33" s="99">
        <f t="shared" si="5"/>
        <v>141248</v>
      </c>
      <c r="G33" s="99">
        <f t="shared" si="5"/>
        <v>175229</v>
      </c>
      <c r="H33" s="99">
        <f t="shared" si="5"/>
        <v>166509</v>
      </c>
    </row>
    <row r="34" spans="1:8" x14ac:dyDescent="0.2">
      <c r="A34" s="96"/>
      <c r="B34" s="99"/>
      <c r="C34" s="99"/>
      <c r="D34" s="99"/>
      <c r="E34" s="99"/>
      <c r="F34" s="99"/>
      <c r="G34" s="99"/>
      <c r="H34" s="99"/>
    </row>
    <row r="35" spans="1:8" ht="16" x14ac:dyDescent="0.2">
      <c r="A35" s="96" t="s">
        <v>74</v>
      </c>
      <c r="B35" s="99">
        <v>485242</v>
      </c>
      <c r="C35" s="99">
        <v>507534</v>
      </c>
      <c r="D35" s="99">
        <v>448649</v>
      </c>
      <c r="E35" s="99">
        <v>578541</v>
      </c>
      <c r="F35" s="99">
        <v>550288</v>
      </c>
      <c r="G35" s="99">
        <v>573582</v>
      </c>
      <c r="H35" s="100">
        <v>546013</v>
      </c>
    </row>
    <row r="36" spans="1:8" ht="16" x14ac:dyDescent="0.2">
      <c r="A36" s="83" t="s">
        <v>106</v>
      </c>
      <c r="B36" s="85"/>
      <c r="C36" s="83"/>
      <c r="D36" s="83"/>
      <c r="E36" s="83"/>
      <c r="F36" s="85"/>
      <c r="G36" s="83"/>
      <c r="H36" s="85"/>
    </row>
    <row r="37" spans="1:8" ht="16" x14ac:dyDescent="0.2">
      <c r="A37" s="87" t="s">
        <v>75</v>
      </c>
      <c r="B37" s="85"/>
      <c r="C37" s="85"/>
      <c r="D37" s="85"/>
      <c r="E37" s="85"/>
      <c r="F37" s="85"/>
      <c r="G37" s="85"/>
      <c r="H37" s="85"/>
    </row>
    <row r="38" spans="1:8" ht="16" x14ac:dyDescent="0.2">
      <c r="A38" s="83" t="s">
        <v>110</v>
      </c>
      <c r="B38" s="84">
        <v>842</v>
      </c>
      <c r="C38" s="84">
        <v>868</v>
      </c>
      <c r="D38" s="84">
        <v>871</v>
      </c>
      <c r="E38" s="84">
        <v>877</v>
      </c>
      <c r="F38" s="84">
        <v>881</v>
      </c>
      <c r="G38" s="84">
        <v>886</v>
      </c>
      <c r="H38" s="85">
        <v>892</v>
      </c>
    </row>
    <row r="39" spans="1:8" ht="16" x14ac:dyDescent="0.2">
      <c r="A39" s="83" t="s">
        <v>111</v>
      </c>
      <c r="B39" s="84"/>
      <c r="C39" s="84"/>
      <c r="D39" s="84"/>
      <c r="E39" s="84"/>
      <c r="F39" s="84">
        <v>-100025</v>
      </c>
      <c r="G39" s="84">
        <v>-100025</v>
      </c>
      <c r="H39" s="85">
        <v>-281587</v>
      </c>
    </row>
    <row r="40" spans="1:8" ht="16" x14ac:dyDescent="0.2">
      <c r="A40" s="83" t="s">
        <v>114</v>
      </c>
      <c r="B40" s="84">
        <v>0</v>
      </c>
      <c r="C40" s="84">
        <v>0</v>
      </c>
      <c r="D40" s="84">
        <v>0</v>
      </c>
      <c r="E40" s="84">
        <v>0</v>
      </c>
      <c r="F40" s="84">
        <v>0</v>
      </c>
      <c r="G40" s="84">
        <v>0</v>
      </c>
      <c r="H40" s="85">
        <v>0</v>
      </c>
    </row>
    <row r="41" spans="1:8" ht="16" x14ac:dyDescent="0.2">
      <c r="A41" s="83" t="s">
        <v>76</v>
      </c>
      <c r="B41" s="84">
        <v>268327</v>
      </c>
      <c r="C41" s="84">
        <v>310678</v>
      </c>
      <c r="D41" s="84">
        <v>321744</v>
      </c>
      <c r="E41" s="84">
        <v>337735</v>
      </c>
      <c r="F41" s="84">
        <v>357490</v>
      </c>
      <c r="G41" s="84">
        <v>386377</v>
      </c>
      <c r="H41" s="86">
        <v>405921</v>
      </c>
    </row>
    <row r="42" spans="1:8" ht="16" x14ac:dyDescent="0.2">
      <c r="A42" s="83" t="s">
        <v>112</v>
      </c>
      <c r="B42" s="84">
        <v>-240104</v>
      </c>
      <c r="C42" s="84">
        <v>-189545</v>
      </c>
      <c r="D42" s="84">
        <v>-33744</v>
      </c>
      <c r="E42" s="84">
        <v>178858</v>
      </c>
      <c r="F42" s="84">
        <v>268551</v>
      </c>
      <c r="G42" s="84">
        <v>438436</v>
      </c>
      <c r="H42" s="86">
        <v>614125</v>
      </c>
    </row>
    <row r="43" spans="1:8" ht="16" x14ac:dyDescent="0.2">
      <c r="A43" s="83" t="s">
        <v>77</v>
      </c>
      <c r="B43" s="84">
        <v>-94</v>
      </c>
      <c r="C43" s="84">
        <v>4</v>
      </c>
      <c r="D43" s="84">
        <v>-387</v>
      </c>
      <c r="E43" s="84">
        <v>353</v>
      </c>
      <c r="F43" s="84">
        <v>-420</v>
      </c>
      <c r="G43" s="84">
        <v>-2064</v>
      </c>
      <c r="H43" s="84">
        <v>756</v>
      </c>
    </row>
    <row r="44" spans="1:8" ht="16" x14ac:dyDescent="0.2">
      <c r="A44" s="83" t="s">
        <v>78</v>
      </c>
      <c r="B44" s="84">
        <v>28971</v>
      </c>
      <c r="C44" s="84">
        <v>122005</v>
      </c>
      <c r="D44" s="84">
        <v>288418</v>
      </c>
      <c r="E44" s="84">
        <v>517823</v>
      </c>
      <c r="F44" s="97">
        <v>526477</v>
      </c>
      <c r="G44" s="84">
        <v>723610</v>
      </c>
      <c r="H44" s="86">
        <v>740107</v>
      </c>
    </row>
    <row r="45" spans="1:8" ht="16" x14ac:dyDescent="0.2">
      <c r="A45" s="96" t="s">
        <v>79</v>
      </c>
      <c r="B45" s="99">
        <v>514213</v>
      </c>
      <c r="C45" s="99">
        <v>629539</v>
      </c>
      <c r="D45" s="99">
        <v>737067</v>
      </c>
      <c r="E45" s="99">
        <v>1096364</v>
      </c>
      <c r="F45" s="99">
        <v>1076765</v>
      </c>
      <c r="G45" s="99">
        <v>1297192</v>
      </c>
      <c r="H45" s="100">
        <v>1286120</v>
      </c>
    </row>
    <row r="46" spans="1:8" x14ac:dyDescent="0.2">
      <c r="A46" s="2"/>
      <c r="B46" s="39"/>
      <c r="F46" s="3"/>
      <c r="G46" s="3"/>
      <c r="H46" s="3"/>
    </row>
    <row r="47" spans="1:8" x14ac:dyDescent="0.2">
      <c r="A47" s="3"/>
      <c r="B47" s="6"/>
      <c r="C47" s="5"/>
      <c r="D47" s="5"/>
      <c r="E47" s="5"/>
      <c r="F47" s="5"/>
      <c r="G47" s="5"/>
      <c r="H47" s="5"/>
    </row>
    <row r="48" spans="1:8" x14ac:dyDescent="0.2">
      <c r="A48" s="3"/>
      <c r="B48" s="6"/>
      <c r="C48" s="5"/>
      <c r="D48" s="5"/>
      <c r="E48" s="5"/>
      <c r="F48" s="5"/>
      <c r="G48" s="5"/>
      <c r="H48" s="5"/>
    </row>
    <row r="49" spans="1:8" x14ac:dyDescent="0.2">
      <c r="A49" s="3"/>
      <c r="B49" s="6"/>
      <c r="C49" s="5"/>
      <c r="D49" s="5"/>
      <c r="E49" s="5"/>
      <c r="F49" s="5"/>
      <c r="G49" s="5"/>
      <c r="H49" s="5"/>
    </row>
    <row r="50" spans="1:8" x14ac:dyDescent="0.2">
      <c r="A50" s="3"/>
      <c r="B50" s="6"/>
      <c r="C50" s="5"/>
      <c r="D50" s="5"/>
      <c r="E50" s="5"/>
      <c r="F50" s="5"/>
      <c r="G50" s="5"/>
      <c r="H50" s="5"/>
    </row>
    <row r="51" spans="1:8" x14ac:dyDescent="0.2">
      <c r="A51" s="3"/>
      <c r="B51" s="6"/>
      <c r="C51" s="5"/>
      <c r="D51" s="5"/>
      <c r="E51" s="5"/>
      <c r="F51" s="5"/>
      <c r="G51" s="5"/>
      <c r="H51" s="5"/>
    </row>
    <row r="52" spans="1:8" x14ac:dyDescent="0.2">
      <c r="A52" s="3"/>
      <c r="B52" s="6"/>
      <c r="C52" s="5"/>
      <c r="D52" s="5"/>
      <c r="E52" s="5"/>
      <c r="F52" s="5"/>
      <c r="G52" s="5"/>
      <c r="H52" s="5"/>
    </row>
    <row r="53" spans="1:8" x14ac:dyDescent="0.2">
      <c r="A53" s="24"/>
      <c r="B53" s="38"/>
      <c r="C53" s="25"/>
      <c r="D53" s="25"/>
      <c r="E53" s="25"/>
      <c r="F53" s="25"/>
      <c r="G53" s="25"/>
      <c r="H53" s="25"/>
    </row>
    <row r="54" spans="1:8" x14ac:dyDescent="0.2">
      <c r="A54" s="24"/>
      <c r="B54" s="40"/>
      <c r="C54" s="41"/>
      <c r="D54" s="41"/>
      <c r="E54" s="41"/>
      <c r="F54" s="25"/>
      <c r="G54" s="25"/>
      <c r="H54" s="25"/>
    </row>
    <row r="55" spans="1:8" x14ac:dyDescent="0.2">
      <c r="B55" s="39"/>
      <c r="F55" s="3"/>
      <c r="G55" s="3"/>
      <c r="H55" s="3"/>
    </row>
    <row r="56" spans="1:8" x14ac:dyDescent="0.2">
      <c r="B56" s="7"/>
      <c r="F56" s="3"/>
      <c r="G56" s="3"/>
      <c r="H56" s="3"/>
    </row>
    <row r="57" spans="1:8" x14ac:dyDescent="0.2">
      <c r="B57" s="39"/>
      <c r="F57" s="5"/>
      <c r="G57" s="5"/>
      <c r="H57" s="5"/>
    </row>
    <row r="58" spans="1:8" x14ac:dyDescent="0.2">
      <c r="B58" s="39"/>
      <c r="F58" s="3"/>
      <c r="G58" s="3"/>
      <c r="H58" s="3"/>
    </row>
    <row r="59" spans="1:8" x14ac:dyDescent="0.2">
      <c r="F59" s="3"/>
      <c r="G59" s="3"/>
      <c r="H59" s="3"/>
    </row>
    <row r="60" spans="1:8" x14ac:dyDescent="0.2">
      <c r="F60" s="4"/>
      <c r="G60" s="4"/>
      <c r="H60" s="4"/>
    </row>
    <row r="61" spans="1:8" x14ac:dyDescent="0.2">
      <c r="F61" s="3"/>
      <c r="G61" s="3"/>
      <c r="H61" s="3"/>
    </row>
    <row r="62" spans="1:8" x14ac:dyDescent="0.2">
      <c r="G62" s="4"/>
      <c r="H62" s="4"/>
    </row>
    <row r="63" spans="1:8" x14ac:dyDescent="0.2">
      <c r="G63" s="4"/>
    </row>
  </sheetData>
  <mergeCells count="1">
    <mergeCell ref="B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5480-6CCE-4E13-938B-6E4072F26EE2}">
  <dimension ref="A1:I27"/>
  <sheetViews>
    <sheetView workbookViewId="0">
      <selection activeCell="R10" sqref="R10"/>
    </sheetView>
  </sheetViews>
  <sheetFormatPr baseColWidth="10" defaultColWidth="8.83203125" defaultRowHeight="15" x14ac:dyDescent="0.2"/>
  <cols>
    <col min="1" max="1" width="41.33203125" bestFit="1" customWidth="1"/>
    <col min="2" max="2" width="13.5" bestFit="1" customWidth="1"/>
    <col min="3" max="3" width="13.33203125" bestFit="1" customWidth="1"/>
    <col min="4" max="4" width="34.6640625" bestFit="1" customWidth="1"/>
    <col min="5" max="5" width="12.5" bestFit="1" customWidth="1"/>
    <col min="6" max="9" width="14.33203125" bestFit="1" customWidth="1"/>
  </cols>
  <sheetData>
    <row r="1" spans="1:9" ht="18" customHeight="1" x14ac:dyDescent="0.2">
      <c r="A1" s="10" t="s">
        <v>84</v>
      </c>
      <c r="B1" s="10"/>
      <c r="C1" s="10"/>
    </row>
    <row r="2" spans="1:9" ht="18" customHeight="1" x14ac:dyDescent="0.2">
      <c r="B2" s="10" t="s">
        <v>25</v>
      </c>
      <c r="C2" s="10"/>
      <c r="E2" s="113" t="s">
        <v>26</v>
      </c>
      <c r="F2" s="113"/>
      <c r="G2" s="113"/>
      <c r="H2" s="113"/>
      <c r="I2" s="113"/>
    </row>
    <row r="3" spans="1:9" ht="18" customHeight="1" x14ac:dyDescent="0.2">
      <c r="B3" s="13" t="s">
        <v>80</v>
      </c>
      <c r="C3" s="10"/>
      <c r="D3" s="31" t="s">
        <v>27</v>
      </c>
      <c r="E3" s="31">
        <v>2025</v>
      </c>
      <c r="F3" s="31">
        <v>2026</v>
      </c>
      <c r="G3" s="31">
        <v>2027</v>
      </c>
      <c r="H3" s="31">
        <v>2028</v>
      </c>
      <c r="I3" s="31">
        <v>2029</v>
      </c>
    </row>
    <row r="4" spans="1:9" ht="18" customHeight="1" x14ac:dyDescent="0.2">
      <c r="B4" s="13"/>
      <c r="C4" s="10" t="s">
        <v>28</v>
      </c>
      <c r="D4" s="32" t="s">
        <v>46</v>
      </c>
      <c r="E4" s="33">
        <v>0</v>
      </c>
      <c r="F4" s="33">
        <v>0</v>
      </c>
      <c r="G4" s="33">
        <v>0</v>
      </c>
      <c r="H4" s="33">
        <v>0</v>
      </c>
      <c r="I4" s="33">
        <v>0</v>
      </c>
    </row>
    <row r="5" spans="1:9" ht="18" customHeight="1" x14ac:dyDescent="0.2">
      <c r="A5" s="15" t="s">
        <v>29</v>
      </c>
      <c r="B5" s="16">
        <f>'Income Statements'!H6</f>
        <v>1829873</v>
      </c>
      <c r="C5" s="17">
        <f>B5/B5</f>
        <v>1</v>
      </c>
      <c r="D5" s="45" t="s">
        <v>30</v>
      </c>
      <c r="E5" s="46">
        <f>B5*(1+E4)</f>
        <v>1829873</v>
      </c>
      <c r="F5" s="46">
        <f>E5*(1+F4)</f>
        <v>1829873</v>
      </c>
      <c r="G5" s="46">
        <f>F5*(1+G4)</f>
        <v>1829873</v>
      </c>
      <c r="H5" s="46">
        <f>G5*(1+H4)</f>
        <v>1829873</v>
      </c>
      <c r="I5" s="46">
        <f>H5*(1+I4)</f>
        <v>1829873</v>
      </c>
    </row>
    <row r="6" spans="1:9" ht="18" customHeight="1" x14ac:dyDescent="0.2">
      <c r="A6" s="15" t="s">
        <v>31</v>
      </c>
      <c r="B6" s="16">
        <f>'Income Statements'!H7</f>
        <v>766589</v>
      </c>
      <c r="C6" s="17">
        <f>B6/B5</f>
        <v>0.41893016619186141</v>
      </c>
      <c r="D6" s="32" t="s">
        <v>32</v>
      </c>
      <c r="E6" s="33">
        <f>B6/B5</f>
        <v>0.41893016619186141</v>
      </c>
      <c r="F6" s="48">
        <f>E6</f>
        <v>0.41893016619186141</v>
      </c>
      <c r="G6" s="34">
        <f>F6</f>
        <v>0.41893016619186141</v>
      </c>
      <c r="H6" s="34">
        <f>G6</f>
        <v>0.41893016619186141</v>
      </c>
      <c r="I6" s="34">
        <f>H6</f>
        <v>0.41893016619186141</v>
      </c>
    </row>
    <row r="7" spans="1:9" ht="18" customHeight="1" x14ac:dyDescent="0.2">
      <c r="A7" s="18"/>
      <c r="B7" s="16"/>
      <c r="C7" s="17"/>
      <c r="D7" s="45" t="s">
        <v>33</v>
      </c>
      <c r="E7" s="49">
        <f>E5*E6</f>
        <v>766589</v>
      </c>
      <c r="F7" s="47">
        <f>E5*F6</f>
        <v>766589</v>
      </c>
      <c r="G7" s="47">
        <f>F5*G6</f>
        <v>766589</v>
      </c>
      <c r="H7" s="47">
        <f>G5*H6</f>
        <v>766589</v>
      </c>
      <c r="I7" s="47">
        <f>H5*I6</f>
        <v>766589</v>
      </c>
    </row>
    <row r="8" spans="1:9" ht="18" customHeight="1" x14ac:dyDescent="0.2">
      <c r="A8" s="15" t="s">
        <v>34</v>
      </c>
      <c r="B8" s="16">
        <f>'Income Statements'!H10</f>
        <v>817908</v>
      </c>
      <c r="C8" s="17">
        <f>B8/B5</f>
        <v>0.44697528189114766</v>
      </c>
      <c r="D8" s="35" t="s">
        <v>35</v>
      </c>
      <c r="E8" s="33">
        <f>B8/B5</f>
        <v>0.44697528189114766</v>
      </c>
      <c r="F8" s="33">
        <f>E8</f>
        <v>0.44697528189114766</v>
      </c>
      <c r="G8" s="33">
        <f>F8</f>
        <v>0.44697528189114766</v>
      </c>
      <c r="H8" s="33">
        <f>G8</f>
        <v>0.44697528189114766</v>
      </c>
      <c r="I8" s="33">
        <f>H8</f>
        <v>0.44697528189114766</v>
      </c>
    </row>
    <row r="9" spans="1:9" ht="18" customHeight="1" x14ac:dyDescent="0.2">
      <c r="A9" s="15"/>
      <c r="B9" s="16"/>
      <c r="C9" s="17"/>
      <c r="D9" s="45" t="s">
        <v>47</v>
      </c>
      <c r="E9" s="50">
        <f>E8*E5</f>
        <v>817908</v>
      </c>
      <c r="F9" s="50">
        <f>F8*F5</f>
        <v>817908</v>
      </c>
      <c r="G9" s="50">
        <f>G8*G5</f>
        <v>817908</v>
      </c>
      <c r="H9" s="50">
        <f>H8*H5</f>
        <v>817908</v>
      </c>
      <c r="I9" s="50">
        <f>I8*I5</f>
        <v>817908</v>
      </c>
    </row>
    <row r="10" spans="1:9" ht="18" customHeight="1" x14ac:dyDescent="0.2">
      <c r="A10" s="15"/>
      <c r="B10" s="16"/>
      <c r="C10" s="17"/>
      <c r="D10" s="35"/>
      <c r="E10" s="33"/>
      <c r="F10" s="33"/>
      <c r="G10" s="33"/>
      <c r="H10" s="33"/>
      <c r="I10" s="33"/>
    </row>
    <row r="11" spans="1:9" ht="18" customHeight="1" x14ac:dyDescent="0.2">
      <c r="A11" s="18" t="s">
        <v>36</v>
      </c>
      <c r="B11" s="16">
        <f>'Income Statements'!H11</f>
        <v>245376</v>
      </c>
      <c r="C11" s="17">
        <f>B11/B5</f>
        <v>0.13409455191699096</v>
      </c>
      <c r="D11" s="45" t="s">
        <v>37</v>
      </c>
      <c r="E11" s="51">
        <f>E5-E7-E9</f>
        <v>245376</v>
      </c>
      <c r="F11" s="51">
        <f>F5-F7-F9</f>
        <v>245376</v>
      </c>
      <c r="G11" s="51">
        <f>G5-G7-G9</f>
        <v>245376</v>
      </c>
      <c r="H11" s="51">
        <f>H5-H7-H9</f>
        <v>245376</v>
      </c>
      <c r="I11" s="51">
        <f>I5-I7-I9</f>
        <v>245376</v>
      </c>
    </row>
    <row r="12" spans="1:9" ht="18" customHeight="1" x14ac:dyDescent="0.2">
      <c r="A12" s="15" t="s">
        <v>38</v>
      </c>
      <c r="B12" s="16">
        <f>'Income Statements'!H12</f>
        <v>660</v>
      </c>
      <c r="C12" s="17">
        <f>B12/B5</f>
        <v>3.6068076855606921E-4</v>
      </c>
      <c r="D12" s="36" t="s">
        <v>48</v>
      </c>
      <c r="E12" s="37">
        <f>B12</f>
        <v>660</v>
      </c>
      <c r="F12" s="37">
        <f>E12</f>
        <v>660</v>
      </c>
      <c r="G12" s="37">
        <f>F12</f>
        <v>660</v>
      </c>
      <c r="H12" s="37">
        <f>G12</f>
        <v>660</v>
      </c>
      <c r="I12" s="37">
        <f>H12</f>
        <v>660</v>
      </c>
    </row>
    <row r="13" spans="1:9" ht="18" customHeight="1" x14ac:dyDescent="0.2">
      <c r="A13" s="18" t="s">
        <v>45</v>
      </c>
      <c r="B13" s="16">
        <f>'Income Statements'!H14</f>
        <v>232848</v>
      </c>
      <c r="C13" s="17">
        <f>B13/B5</f>
        <v>0.12724817514658121</v>
      </c>
      <c r="D13" s="45" t="s">
        <v>39</v>
      </c>
      <c r="E13" s="52">
        <f>E11-E12</f>
        <v>244716</v>
      </c>
      <c r="F13" s="52">
        <f>F11-F12</f>
        <v>244716</v>
      </c>
      <c r="G13" s="52">
        <f>G11-G12</f>
        <v>244716</v>
      </c>
      <c r="H13" s="52">
        <f>H11-H12</f>
        <v>244716</v>
      </c>
      <c r="I13" s="52">
        <f>I11-I12</f>
        <v>244716</v>
      </c>
    </row>
    <row r="14" spans="1:9" ht="18" customHeight="1" x14ac:dyDescent="0.2">
      <c r="A14" s="18"/>
      <c r="B14" s="16"/>
      <c r="C14" s="17"/>
      <c r="D14" s="35" t="s">
        <v>40</v>
      </c>
      <c r="E14" s="33">
        <f>C16</f>
        <v>9.6011581131586726E-2</v>
      </c>
      <c r="F14" s="33">
        <f>E14</f>
        <v>9.6011581131586726E-2</v>
      </c>
      <c r="G14" s="33">
        <f>F14</f>
        <v>9.6011581131586726E-2</v>
      </c>
      <c r="H14" s="33">
        <f>G14</f>
        <v>9.6011581131586726E-2</v>
      </c>
      <c r="I14" s="33">
        <f>H14</f>
        <v>9.6011581131586726E-2</v>
      </c>
    </row>
    <row r="15" spans="1:9" ht="18" customHeight="1" x14ac:dyDescent="0.2">
      <c r="A15" s="15" t="s">
        <v>1</v>
      </c>
      <c r="B15" s="16">
        <f>'Income Statements'!H15</f>
        <v>-57159</v>
      </c>
      <c r="C15" s="17">
        <f>B15/B5</f>
        <v>-3.1236594014994484E-2</v>
      </c>
      <c r="D15" s="53" t="s">
        <v>49</v>
      </c>
      <c r="E15" s="52">
        <f>E14*E13</f>
        <v>23495.570088197379</v>
      </c>
      <c r="F15" s="52">
        <f>F14*F13</f>
        <v>23495.570088197379</v>
      </c>
      <c r="G15" s="52">
        <f>G14*G13</f>
        <v>23495.570088197379</v>
      </c>
      <c r="H15" s="52">
        <f>H14*H13</f>
        <v>23495.570088197379</v>
      </c>
      <c r="I15" s="52">
        <f>I14*I13</f>
        <v>23495.570088197379</v>
      </c>
    </row>
    <row r="16" spans="1:9" ht="18" customHeight="1" x14ac:dyDescent="0.2">
      <c r="A16" s="18" t="s">
        <v>124</v>
      </c>
      <c r="B16" s="16">
        <f>'Income Statements'!H16</f>
        <v>175689</v>
      </c>
      <c r="C16" s="17">
        <f>B16/B5</f>
        <v>9.6011581131586726E-2</v>
      </c>
      <c r="D16" s="45" t="s">
        <v>41</v>
      </c>
      <c r="E16" s="52">
        <f>E13-E15</f>
        <v>221220.42991180261</v>
      </c>
      <c r="F16" s="52">
        <f>F13-F15</f>
        <v>221220.42991180261</v>
      </c>
      <c r="G16" s="52">
        <f>G13-G15</f>
        <v>221220.42991180261</v>
      </c>
      <c r="H16" s="52">
        <f>H13-H15</f>
        <v>221220.42991180261</v>
      </c>
      <c r="I16" s="52">
        <f>I13-I15</f>
        <v>221220.42991180261</v>
      </c>
    </row>
    <row r="17" spans="1:9" ht="18" customHeight="1" x14ac:dyDescent="0.2">
      <c r="A17" s="3">
        <f>'Balance Sheets'!H16</f>
        <v>10225</v>
      </c>
      <c r="B17" s="20"/>
      <c r="C17" s="10"/>
      <c r="D17" s="21"/>
      <c r="E17" s="22"/>
      <c r="F17" s="22"/>
      <c r="G17" s="22"/>
      <c r="H17" s="22"/>
      <c r="I17" s="22"/>
    </row>
    <row r="18" spans="1:9" ht="18" customHeight="1" x14ac:dyDescent="0.2">
      <c r="A18" s="24" t="s">
        <v>42</v>
      </c>
      <c r="B18" s="62">
        <f>'Balance Sheets'!H16</f>
        <v>10225</v>
      </c>
      <c r="C18" s="17">
        <f>B18/B5</f>
        <v>5.5878194825542534E-3</v>
      </c>
      <c r="D18" s="14" t="s">
        <v>50</v>
      </c>
      <c r="E18" s="19">
        <f>C18</f>
        <v>5.5878194825542534E-3</v>
      </c>
      <c r="F18" s="19">
        <f>E18</f>
        <v>5.5878194825542534E-3</v>
      </c>
      <c r="G18" s="19">
        <f>F18</f>
        <v>5.5878194825542534E-3</v>
      </c>
      <c r="H18" s="19">
        <f>G18</f>
        <v>5.5878194825542534E-3</v>
      </c>
      <c r="I18" s="19">
        <f>H18</f>
        <v>5.5878194825542534E-3</v>
      </c>
    </row>
    <row r="19" spans="1:9" ht="18" customHeight="1" x14ac:dyDescent="0.2">
      <c r="A19" s="24"/>
      <c r="B19" s="25"/>
      <c r="C19" s="42"/>
      <c r="D19" s="54" t="s">
        <v>43</v>
      </c>
      <c r="E19" s="55">
        <f>E5*E18</f>
        <v>10225</v>
      </c>
      <c r="F19" s="55">
        <f>F5*F18</f>
        <v>10225</v>
      </c>
      <c r="G19" s="55">
        <f>G5*G18</f>
        <v>10225</v>
      </c>
      <c r="H19" s="55">
        <f>H5*H18</f>
        <v>10225</v>
      </c>
      <c r="I19" s="55">
        <f>I5*I18</f>
        <v>10225</v>
      </c>
    </row>
    <row r="20" spans="1:9" ht="18" customHeight="1" x14ac:dyDescent="0.2">
      <c r="A20" s="43" t="s">
        <v>51</v>
      </c>
      <c r="B20" s="63">
        <f>'Balance Sheets'!H32</f>
        <v>0</v>
      </c>
      <c r="C20" s="17">
        <f>B20/B5</f>
        <v>0</v>
      </c>
      <c r="D20" s="35" t="s">
        <v>52</v>
      </c>
      <c r="E20" s="44">
        <f>C20</f>
        <v>0</v>
      </c>
      <c r="F20" s="34">
        <f>E20</f>
        <v>0</v>
      </c>
      <c r="G20" s="34">
        <f>F20</f>
        <v>0</v>
      </c>
      <c r="H20" s="34">
        <f>G20</f>
        <v>0</v>
      </c>
      <c r="I20" s="34">
        <f>H20</f>
        <v>0</v>
      </c>
    </row>
    <row r="21" spans="1:9" ht="18" customHeight="1" x14ac:dyDescent="0.2">
      <c r="A21" s="24"/>
      <c r="B21" s="23"/>
      <c r="C21" s="10"/>
      <c r="D21" s="45" t="s">
        <v>53</v>
      </c>
      <c r="E21" s="56">
        <f>E20*E5</f>
        <v>0</v>
      </c>
      <c r="F21" s="56">
        <f>F20*F5</f>
        <v>0</v>
      </c>
      <c r="G21" s="56">
        <f>G20*G5</f>
        <v>0</v>
      </c>
      <c r="H21" s="56">
        <f>H20*H5</f>
        <v>0</v>
      </c>
      <c r="I21" s="56">
        <f>I20*I5</f>
        <v>0</v>
      </c>
    </row>
    <row r="22" spans="1:9" ht="18" customHeight="1" x14ac:dyDescent="0.2">
      <c r="A22" s="58" t="s">
        <v>54</v>
      </c>
      <c r="B22" s="64">
        <f>'Balance Sheets'!H41</f>
        <v>405921</v>
      </c>
      <c r="C22" s="57"/>
      <c r="D22" s="60" t="s">
        <v>55</v>
      </c>
      <c r="E22" s="61">
        <f>B22+E16</f>
        <v>627141.42991180264</v>
      </c>
      <c r="F22" s="59">
        <f>E22+F16</f>
        <v>848361.85982360528</v>
      </c>
      <c r="G22" s="59">
        <f>F22+G16</f>
        <v>1069582.2897354078</v>
      </c>
      <c r="H22" s="59">
        <f>G22+H16</f>
        <v>1290802.7196472103</v>
      </c>
      <c r="I22" s="59">
        <f>H22+I16</f>
        <v>1512023.1495590128</v>
      </c>
    </row>
    <row r="23" spans="1:9" ht="18" customHeight="1" x14ac:dyDescent="0.2">
      <c r="C23" s="27"/>
      <c r="E23" s="28"/>
      <c r="F23" s="26"/>
      <c r="G23" s="26"/>
      <c r="H23" s="26"/>
      <c r="I23" s="26"/>
    </row>
    <row r="24" spans="1:9" ht="18" customHeight="1" x14ac:dyDescent="0.2">
      <c r="A24" s="3"/>
      <c r="B24" s="114" t="s">
        <v>57</v>
      </c>
      <c r="C24" s="114"/>
      <c r="D24" s="66" t="s">
        <v>56</v>
      </c>
      <c r="E24" s="67">
        <f>E21+E22-E19</f>
        <v>616916.42991180264</v>
      </c>
      <c r="F24" s="67">
        <f>F21+F22-F19</f>
        <v>838136.85982360528</v>
      </c>
      <c r="G24" s="67">
        <f>G21+G22-G19</f>
        <v>1059357.2897354078</v>
      </c>
      <c r="H24" s="67">
        <f>H21+H22-H19</f>
        <v>1280577.7196472103</v>
      </c>
      <c r="I24" s="67">
        <f>I21+I22-I19</f>
        <v>1501798.1495590128</v>
      </c>
    </row>
    <row r="25" spans="1:9" ht="18" customHeight="1" x14ac:dyDescent="0.2">
      <c r="A25" s="3"/>
      <c r="B25" s="3"/>
      <c r="C25" s="29"/>
      <c r="F25" s="30"/>
      <c r="G25" s="30"/>
      <c r="H25" s="30"/>
      <c r="I25" s="30"/>
    </row>
    <row r="26" spans="1:9" x14ac:dyDescent="0.2">
      <c r="D26" s="14" t="s">
        <v>27</v>
      </c>
    </row>
    <row r="27" spans="1:9" x14ac:dyDescent="0.2">
      <c r="D27" s="65" t="s">
        <v>44</v>
      </c>
    </row>
  </sheetData>
  <mergeCells count="2">
    <mergeCell ref="E2:I2"/>
    <mergeCell ref="B24:C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9CDC-7F14-4FD7-81A7-E081C682AF48}">
  <dimension ref="A1:O6"/>
  <sheetViews>
    <sheetView workbookViewId="0">
      <selection activeCell="D11" sqref="D11"/>
    </sheetView>
  </sheetViews>
  <sheetFormatPr baseColWidth="10" defaultColWidth="8.83203125" defaultRowHeight="15" x14ac:dyDescent="0.2"/>
  <sheetData>
    <row r="1" spans="1:15" x14ac:dyDescent="0.2">
      <c r="A1" s="69" t="s">
        <v>59</v>
      </c>
      <c r="B1" s="70"/>
      <c r="C1" s="69"/>
      <c r="D1" s="70"/>
      <c r="E1" s="70"/>
      <c r="F1" s="70"/>
      <c r="G1" s="70"/>
      <c r="H1" s="70"/>
      <c r="I1" s="70"/>
      <c r="J1" s="71"/>
      <c r="K1" s="71"/>
      <c r="L1" s="71"/>
      <c r="M1" s="71"/>
      <c r="N1" s="71"/>
      <c r="O1" s="71"/>
    </row>
    <row r="2" spans="1:15" x14ac:dyDescent="0.2">
      <c r="A2" s="68"/>
      <c r="B2" s="68"/>
      <c r="C2" s="68"/>
      <c r="D2" s="68"/>
      <c r="E2" s="68"/>
      <c r="F2" s="68"/>
      <c r="G2" s="68"/>
      <c r="H2" s="68"/>
      <c r="I2" s="68"/>
    </row>
    <row r="6" spans="1:15" x14ac:dyDescent="0.2">
      <c r="G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5</vt:i4>
      </vt:variant>
    </vt:vector>
  </HeadingPairs>
  <TitlesOfParts>
    <vt:vector size="10" baseType="lpstr">
      <vt:lpstr>Financial Ratios</vt:lpstr>
      <vt:lpstr>Income Statements</vt:lpstr>
      <vt:lpstr>Balance Sheets</vt:lpstr>
      <vt:lpstr>Base Case Projections</vt:lpstr>
      <vt:lpstr>Improved Case Projections</vt:lpstr>
      <vt:lpstr>ROE</vt:lpstr>
      <vt:lpstr>NPM</vt:lpstr>
      <vt:lpstr>GPM</vt:lpstr>
      <vt:lpstr>PM</vt:lpstr>
      <vt:lpstr>Turnover</vt:lpstr>
    </vt:vector>
  </TitlesOfParts>
  <Company>University of Lynchburg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Whitehouse, Frank</dc:creator>
  <cp:lastModifiedBy>Wallace, George</cp:lastModifiedBy>
  <dcterms:created xsi:type="dcterms:W3CDTF">2024-07-29T13:54:19Z</dcterms:created>
  <dcterms:modified xsi:type="dcterms:W3CDTF">2026-04-03T03:39:51Z</dcterms:modified>
</cp:coreProperties>
</file>